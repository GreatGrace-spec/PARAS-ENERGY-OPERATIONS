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C5F945AD-19F2-4DE5-91A2-7C105E04DBBE}" xr6:coauthVersionLast="47" xr6:coauthVersionMax="47" xr10:uidLastSave="{00000000-0000-0000-0000-000000000000}"/>
  <bookViews>
    <workbookView xWindow="-110" yWindow="-110" windowWidth="19420" windowHeight="10300" xr2:uid="{56047E0D-6150-4F43-8E19-DFCC81CA4F6B}"/>
  </bookViews>
  <sheets>
    <sheet name="Dashboard" sheetId="8" r:id="rId1"/>
    <sheet name="pivot tables" sheetId="2" r:id="rId2"/>
    <sheet name="paras_energy_dataset" sheetId="1" r:id="rId3"/>
    <sheet name="Analysis" sheetId="7" r:id="rId4"/>
  </sheets>
  <definedNames>
    <definedName name="_xlchart.v1.4" hidden="1">'pivot tables'!$M$4:$M$7</definedName>
    <definedName name="_xlchart.v1.5" hidden="1">'pivot tables'!$N$4:$N$7</definedName>
    <definedName name="_xlchart.v2.0" hidden="1">'pivot tables'!$J$11:$J$14</definedName>
    <definedName name="_xlchart.v2.1" hidden="1">'pivot tables'!$K$11:$K$14</definedName>
    <definedName name="_xlchart.v2.2" hidden="1">'pivot tables'!$J$11:$J$14</definedName>
    <definedName name="_xlchart.v2.3" hidden="1">'pivot tables'!$K$11:$K$14</definedName>
    <definedName name="Slicer_Months__Date">#N/A</definedName>
    <definedName name="Slicer_Plant">#N/A</definedName>
  </definedNames>
  <calcPr calcId="191029"/>
  <pivotCaches>
    <pivotCache cacheId="25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2" l="1"/>
  <c r="A16" i="2"/>
  <c r="N7" i="2"/>
  <c r="N6" i="2"/>
  <c r="N5" i="2"/>
  <c r="N4" i="2"/>
  <c r="K14" i="2"/>
  <c r="K13" i="2"/>
  <c r="K12" i="2"/>
  <c r="K11" i="2"/>
  <c r="A19" i="2"/>
  <c r="A18" i="2"/>
  <c r="A17" i="2"/>
  <c r="B13" i="2"/>
  <c r="B12" i="2"/>
  <c r="B11" i="2"/>
  <c r="B10" i="2"/>
</calcChain>
</file>

<file path=xl/sharedStrings.xml><?xml version="1.0" encoding="utf-8"?>
<sst xmlns="http://schemas.openxmlformats.org/spreadsheetml/2006/main" count="643" uniqueCount="77">
  <si>
    <t>Date</t>
  </si>
  <si>
    <t>Plant</t>
  </si>
  <si>
    <t>Energy_Generated_MWh</t>
  </si>
  <si>
    <t>Downtime_Hours</t>
  </si>
  <si>
    <t>Fuel_Cost_NGN</t>
  </si>
  <si>
    <t>Maintenance_Cost_NGN</t>
  </si>
  <si>
    <t>Revenue_NGN</t>
  </si>
  <si>
    <t>Efficiency_Score</t>
  </si>
  <si>
    <t>Lagos Plant</t>
  </si>
  <si>
    <t>Port Harcourt Plant</t>
  </si>
  <si>
    <t>Abuja Plant</t>
  </si>
  <si>
    <t>Kano Plant</t>
  </si>
  <si>
    <t>Row Labels</t>
  </si>
  <si>
    <t>Grand Total</t>
  </si>
  <si>
    <t>Apr</t>
  </si>
  <si>
    <t>Sum of Revenue_NGN</t>
  </si>
  <si>
    <t>MONTHLY REVENUE BY PLANT STATION</t>
  </si>
  <si>
    <t>Sum of Energy_Generated_MWh</t>
  </si>
  <si>
    <t>Sum of Maintenance_Cost_NGN</t>
  </si>
  <si>
    <t>Metric</t>
  </si>
  <si>
    <t>Value</t>
  </si>
  <si>
    <t>Total Energy Generated (MWh)</t>
  </si>
  <si>
    <t>Total Revenue (NGN)</t>
  </si>
  <si>
    <t>Total Fuel Cost (NGN)</t>
  </si>
  <si>
    <t>Total Maintenance Cost (NGN)</t>
  </si>
  <si>
    <t>Total Downtime (Hours)</t>
  </si>
  <si>
    <t>Average Efficiency Score</t>
  </si>
  <si>
    <t>Operating Surplus (Revenue - Fuel - Maintenance)</t>
  </si>
  <si>
    <t>Operating Margin</t>
  </si>
  <si>
    <t>Average Revenue per Day (NGN)</t>
  </si>
  <si>
    <t>Month</t>
  </si>
  <si>
    <t>Revenue (NGN)</t>
  </si>
  <si>
    <t>Energy (MWh)</t>
  </si>
  <si>
    <t>Downtime (Hours)</t>
  </si>
  <si>
    <t>2025-01-01T00:00:00.000Z</t>
  </si>
  <si>
    <t>2025-02-01T00:00:00.000Z</t>
  </si>
  <si>
    <t>2025-03-01T00:00:00.000Z</t>
  </si>
  <si>
    <t>2025-04-01T00:00:00.000Z</t>
  </si>
  <si>
    <t>2025-05-01T00:00:00.000Z</t>
  </si>
  <si>
    <t>2025-06-01T00:00:00.000Z</t>
  </si>
  <si>
    <t>2025-07-01T00:00:00.000Z</t>
  </si>
  <si>
    <t>2025-08-01T00:00:00.000Z</t>
  </si>
  <si>
    <t>2025-09-01T00:00:00.000Z</t>
  </si>
  <si>
    <t>2025-10-01T00:00:00.000Z</t>
  </si>
  <si>
    <t>2025-11-01T00:00:00.000Z</t>
  </si>
  <si>
    <t>2025-12-01T00:00:00.000Z</t>
  </si>
  <si>
    <t>Avg Efficiency</t>
  </si>
  <si>
    <t>Total Cost (NGN)</t>
  </si>
  <si>
    <t>Operating Surplus (NGN)</t>
  </si>
  <si>
    <t>Insight</t>
  </si>
  <si>
    <t>Observation</t>
  </si>
  <si>
    <t>Top revenue plant</t>
  </si>
  <si>
    <t>Lagos Plant generated the highest revenue at 150636399.40 NGN.</t>
  </si>
  <si>
    <t>Lowest revenue plant</t>
  </si>
  <si>
    <t>Kano Plant had the lowest revenue at 110762330.87 NGN.</t>
  </si>
  <si>
    <t>Downtime concentration</t>
  </si>
  <si>
    <t>Kano Plant recorded the highest downtime at 275 hours.</t>
  </si>
  <si>
    <t>Best efficiency</t>
  </si>
  <si>
    <t>Lagos Plant had the best average efficiency score at 0.001769.</t>
  </si>
  <si>
    <t>Best operating surplus</t>
  </si>
  <si>
    <t>Lagos Plant delivered the strongest operating surplus at 64548760.34 NGN.</t>
  </si>
  <si>
    <t>Peak month</t>
  </si>
  <si>
    <t>Mar 2025 was the strongest month for revenue at 65378724.98 NGN.</t>
  </si>
  <si>
    <t>Softest month</t>
  </si>
  <si>
    <t>Nov 2025 was the weakest month for revenue at 29712288.81 NGN.</t>
  </si>
  <si>
    <t>Cost structure</t>
  </si>
  <si>
    <t>Fuel plus maintenance consumed 41.0% of revenue, leaving an operating margin of 41.0%.</t>
  </si>
  <si>
    <t>Operational view</t>
  </si>
  <si>
    <t>Revenue leadership and efficiency leadership are not necessarily the same, which suggests room to improve plant-level operating discipline.</t>
  </si>
  <si>
    <t>Sum of Fuel_Cost_NGN</t>
  </si>
  <si>
    <t>Sum of Downtime_Hours</t>
  </si>
  <si>
    <t>total revenue</t>
  </si>
  <si>
    <t>total fuel</t>
  </si>
  <si>
    <t>total maintenance</t>
  </si>
  <si>
    <t>energy</t>
  </si>
  <si>
    <t>total downtime</t>
  </si>
  <si>
    <t>P H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</si>
</sst>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mmm\ yyyy"/>
    <numFmt numFmtId="165" formatCode="\₦#,##0.00"/>
    <numFmt numFmtId="166" formatCode="0.000000"/>
    <numFmt numFmtId="167" formatCode="0.0%"/>
    <numFmt numFmtId="169" formatCode="_(&quot;$&quot;* #,##0_);_(&quot;$&quot;* \(#,##0\);_(&quot;$&quot;* &quot;-&quot;??_);_(@_)"/>
    <numFmt numFmtId="181" formatCode="0&quot;MWh&quot;"/>
    <numFmt numFmtId="183" formatCode="0&quot;Hrs&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name val="Calibri"/>
      <family val="2"/>
      <scheme val="minor"/>
    </font>
    <font>
      <b/>
      <sz val="11"/>
      <color rgb="FFFFFFFF"/>
      <name val="Calibri"/>
      <family val="2"/>
      <scheme val="minor"/>
    </font>
    <font>
      <b/>
      <sz val="11"/>
      <color rgb="FFFF0000"/>
      <name val="Calibri"/>
      <family val="2"/>
      <scheme val="minor"/>
    </font>
    <font>
      <sz val="11"/>
      <color theme="4"/>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EAF3FF"/>
        <bgColor indexed="64"/>
      </patternFill>
    </fill>
    <fill>
      <patternFill patternType="solid">
        <fgColor rgb="FFF7FBFF"/>
        <bgColor indexed="64"/>
      </patternFill>
    </fill>
    <fill>
      <patternFill patternType="solid">
        <fgColor rgb="FFFFF9E6"/>
        <bgColor indexed="64"/>
      </patternFill>
    </fill>
    <fill>
      <patternFill patternType="solid">
        <fgColor rgb="FFF3F9F1"/>
        <bgColor indexed="64"/>
      </patternFill>
    </fill>
    <fill>
      <patternFill patternType="solid">
        <fgColor rgb="FFFDEDEC"/>
        <bgColor indexed="64"/>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14" fontId="0" fillId="0" borderId="0" xfId="0" applyNumberFormat="1"/>
    <xf numFmtId="0" fontId="16" fillId="0" borderId="0" xfId="0" applyFont="1"/>
    <xf numFmtId="0" fontId="0" fillId="0" borderId="0" xfId="0" pivotButton="1"/>
    <xf numFmtId="0" fontId="19" fillId="33" borderId="0" xfId="0" applyFont="1" applyFill="1" applyAlignment="1">
      <alignment horizontal="left" wrapText="1"/>
    </xf>
    <xf numFmtId="0" fontId="16" fillId="0" borderId="0" xfId="0" applyFont="1" applyAlignment="1">
      <alignment horizontal="left" wrapText="1"/>
    </xf>
    <xf numFmtId="0" fontId="0" fillId="0" borderId="0" xfId="0" applyAlignment="1">
      <alignment horizontal="left" wrapText="1"/>
    </xf>
    <xf numFmtId="0" fontId="0" fillId="34" borderId="0" xfId="0" applyFill="1" applyAlignment="1">
      <alignment horizontal="left" wrapText="1"/>
    </xf>
    <xf numFmtId="4" fontId="0" fillId="34" borderId="0" xfId="0" applyNumberFormat="1" applyFill="1" applyAlignment="1">
      <alignment horizontal="left" wrapText="1"/>
    </xf>
    <xf numFmtId="165" fontId="0" fillId="34" borderId="0" xfId="0" applyNumberFormat="1" applyFill="1" applyAlignment="1">
      <alignment horizontal="left" wrapText="1"/>
    </xf>
    <xf numFmtId="2" fontId="0" fillId="34" borderId="0" xfId="0" applyNumberFormat="1" applyFill="1" applyAlignment="1">
      <alignment horizontal="left" wrapText="1"/>
    </xf>
    <xf numFmtId="166" fontId="0" fillId="34" borderId="0" xfId="0" applyNumberFormat="1" applyFill="1" applyAlignment="1">
      <alignment horizontal="left" wrapText="1"/>
    </xf>
    <xf numFmtId="167" fontId="0" fillId="34" borderId="0" xfId="0" applyNumberFormat="1" applyFill="1" applyAlignment="1">
      <alignment horizontal="left" wrapText="1"/>
    </xf>
    <xf numFmtId="0" fontId="19" fillId="35" borderId="0" xfId="0" applyFont="1" applyFill="1" applyAlignment="1">
      <alignment horizontal="left" wrapText="1"/>
    </xf>
    <xf numFmtId="0" fontId="0" fillId="35" borderId="0" xfId="0" applyFill="1" applyAlignment="1">
      <alignment horizontal="left" wrapText="1"/>
    </xf>
    <xf numFmtId="165" fontId="0" fillId="35" borderId="0" xfId="0" applyNumberFormat="1" applyFill="1" applyAlignment="1">
      <alignment horizontal="left" wrapText="1"/>
    </xf>
    <xf numFmtId="4" fontId="0" fillId="35" borderId="0" xfId="0" applyNumberFormat="1" applyFill="1" applyAlignment="1">
      <alignment horizontal="left" wrapText="1"/>
    </xf>
    <xf numFmtId="1" fontId="0" fillId="35" borderId="0" xfId="0" applyNumberFormat="1" applyFill="1" applyAlignment="1">
      <alignment horizontal="left" wrapText="1"/>
    </xf>
    <xf numFmtId="166" fontId="0" fillId="35" borderId="0" xfId="0" applyNumberFormat="1" applyFill="1" applyAlignment="1">
      <alignment horizontal="left" wrapText="1"/>
    </xf>
    <xf numFmtId="164" fontId="0" fillId="36" borderId="0" xfId="0" applyNumberFormat="1" applyFill="1" applyAlignment="1">
      <alignment horizontal="left" wrapText="1"/>
    </xf>
    <xf numFmtId="165" fontId="0" fillId="36" borderId="0" xfId="0" applyNumberFormat="1" applyFill="1" applyAlignment="1">
      <alignment horizontal="left" wrapText="1"/>
    </xf>
    <xf numFmtId="4" fontId="0" fillId="36" borderId="0" xfId="0" applyNumberFormat="1" applyFill="1" applyAlignment="1">
      <alignment horizontal="left" wrapText="1"/>
    </xf>
    <xf numFmtId="1" fontId="0" fillId="36" borderId="0" xfId="0" applyNumberFormat="1" applyFill="1" applyAlignment="1">
      <alignment horizontal="left" wrapText="1"/>
    </xf>
    <xf numFmtId="0" fontId="0" fillId="37" borderId="0" xfId="0" applyFill="1" applyAlignment="1">
      <alignment horizontal="left" wrapText="1"/>
    </xf>
    <xf numFmtId="0" fontId="0" fillId="38" borderId="0" xfId="0" applyFill="1" applyAlignment="1">
      <alignment horizontal="left" wrapText="1"/>
    </xf>
    <xf numFmtId="1" fontId="0" fillId="38" borderId="0" xfId="0" applyNumberFormat="1" applyFill="1" applyAlignment="1">
      <alignment horizontal="left" wrapText="1"/>
    </xf>
    <xf numFmtId="0" fontId="18" fillId="34" borderId="0" xfId="0" applyFont="1" applyFill="1" applyAlignment="1">
      <alignment horizontal="left" wrapText="1"/>
    </xf>
    <xf numFmtId="0" fontId="18" fillId="36" borderId="0" xfId="0" applyFont="1" applyFill="1" applyAlignment="1">
      <alignment horizontal="left" wrapText="1"/>
    </xf>
    <xf numFmtId="0" fontId="18" fillId="0" borderId="0" xfId="0" applyFont="1" applyAlignment="1">
      <alignment horizontal="left" wrapText="1"/>
    </xf>
    <xf numFmtId="0" fontId="18" fillId="37" borderId="0" xfId="0" applyFont="1" applyFill="1" applyAlignment="1">
      <alignment horizontal="left" wrapText="1"/>
    </xf>
    <xf numFmtId="0" fontId="0" fillId="0" borderId="0" xfId="0" applyNumberFormat="1"/>
    <xf numFmtId="169" fontId="0" fillId="0" borderId="0" xfId="0" applyNumberFormat="1"/>
    <xf numFmtId="1" fontId="0" fillId="0" borderId="0" xfId="0" applyNumberFormat="1"/>
    <xf numFmtId="10" fontId="0" fillId="0" borderId="0" xfId="0" applyNumberFormat="1"/>
    <xf numFmtId="0" fontId="20" fillId="35" borderId="0" xfId="0" applyFont="1" applyFill="1" applyAlignment="1">
      <alignment horizontal="left" wrapText="1"/>
    </xf>
    <xf numFmtId="0" fontId="21" fillId="39" borderId="0" xfId="0" applyFont="1" applyFill="1"/>
    <xf numFmtId="169" fontId="0" fillId="0" borderId="0" xfId="42" applyNumberFormat="1" applyFont="1"/>
    <xf numFmtId="181" fontId="0" fillId="0" borderId="0" xfId="0" applyNumberFormat="1"/>
    <xf numFmtId="183" fontId="0" fillId="0" borderId="0" xfId="0" applyNumberFormat="1"/>
    <xf numFmtId="9" fontId="0"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4" formatCode="0.0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font>
        <sz val="9"/>
        <color theme="2"/>
      </font>
      <fill>
        <patternFill>
          <bgColor theme="4" tint="-0.499984740745262"/>
        </patternFill>
      </fill>
      <border diagonalUp="0" diagonalDown="0">
        <left style="thin">
          <color auto="1"/>
        </left>
        <right style="thin">
          <color auto="1"/>
        </right>
        <top style="thin">
          <color auto="1"/>
        </top>
        <bottom style="thin">
          <color auto="1"/>
        </bottom>
        <vertical/>
        <horizontal/>
      </border>
    </dxf>
    <dxf>
      <fill>
        <patternFill>
          <bgColor theme="4" tint="-0.499984740745262"/>
        </patternFill>
      </fill>
      <border diagonalUp="0" diagonalDown="0">
        <left/>
        <right/>
        <top/>
        <bottom/>
        <vertical/>
        <horizontal/>
      </border>
    </dxf>
  </dxfs>
  <tableStyles count="2" defaultTableStyle="TableStyleMedium2" defaultPivotStyle="PivotStyleLight16">
    <tableStyle name="Slicer Style 1" pivot="0" table="0" count="1" xr9:uid="{06533DA6-054F-4ABD-B721-821CDE7C428E}">
      <tableStyleElement type="wholeTable" dxfId="9"/>
    </tableStyle>
    <tableStyle name="Slicer Style 2" pivot="0" table="0" count="1" xr9:uid="{4F356433-16E3-4088-8B9C-7461383D09FA}">
      <tableStyleElement type="wholeTable" dxfId="10"/>
    </tableStyle>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1"/>
              </a:gs>
              <a:gs pos="29000">
                <a:schemeClr val="accent6">
                  <a:lumMod val="60000"/>
                  <a:lumOff val="40000"/>
                </a:schemeClr>
              </a:gs>
              <a:gs pos="100000">
                <a:schemeClr val="accent6">
                  <a:lumMod val="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8623600124231"/>
          <c:y val="0.15920634920634924"/>
          <c:w val="0.71076968047207556"/>
          <c:h val="0.65405657626130065"/>
        </c:manualLayout>
      </c:layout>
      <c:areaChart>
        <c:grouping val="standard"/>
        <c:varyColors val="0"/>
        <c:ser>
          <c:idx val="0"/>
          <c:order val="0"/>
          <c:tx>
            <c:v>Total</c:v>
          </c:tx>
          <c:spPr>
            <a:gradFill>
              <a:gsLst>
                <a:gs pos="0">
                  <a:schemeClr val="bg1"/>
                </a:gs>
                <a:gs pos="29000">
                  <a:schemeClr val="accent6">
                    <a:lumMod val="60000"/>
                    <a:lumOff val="40000"/>
                  </a:schemeClr>
                </a:gs>
                <a:gs pos="100000">
                  <a:schemeClr val="accent6">
                    <a:lumMod val="50000"/>
                  </a:schemeClr>
                </a:gs>
              </a:gsLst>
              <a:lin ang="16200000" scaled="1"/>
            </a:gra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62086152.669999987</c:v>
              </c:pt>
              <c:pt idx="1">
                <c:v>58841399.739999995</c:v>
              </c:pt>
              <c:pt idx="2">
                <c:v>65378724.979999989</c:v>
              </c:pt>
              <c:pt idx="3">
                <c:v>61940297.039999984</c:v>
              </c:pt>
              <c:pt idx="4">
                <c:v>45724037.280000001</c:v>
              </c:pt>
              <c:pt idx="5">
                <c:v>31590410.82</c:v>
              </c:pt>
              <c:pt idx="6">
                <c:v>29950149.389999997</c:v>
              </c:pt>
              <c:pt idx="7">
                <c:v>32514134.069999997</c:v>
              </c:pt>
              <c:pt idx="8">
                <c:v>32396399.25</c:v>
              </c:pt>
              <c:pt idx="9">
                <c:v>33448509.630000003</c:v>
              </c:pt>
              <c:pt idx="10">
                <c:v>29712288.810000002</c:v>
              </c:pt>
              <c:pt idx="11">
                <c:v>34201048.759999998</c:v>
              </c:pt>
            </c:numLit>
          </c:val>
          <c:extLst>
            <c:ext xmlns:c16="http://schemas.microsoft.com/office/drawing/2014/chart" uri="{C3380CC4-5D6E-409C-BE32-E72D297353CC}">
              <c16:uniqueId val="{00000000-3338-4A0C-8F73-F50570F11E49}"/>
            </c:ext>
          </c:extLst>
        </c:ser>
        <c:dLbls>
          <c:showLegendKey val="0"/>
          <c:showVal val="0"/>
          <c:showCatName val="0"/>
          <c:showSerName val="0"/>
          <c:showPercent val="0"/>
          <c:showBubbleSize val="0"/>
        </c:dLbls>
        <c:axId val="452291727"/>
        <c:axId val="452285487"/>
      </c:areaChart>
      <c:catAx>
        <c:axId val="45229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285487"/>
        <c:crosses val="autoZero"/>
        <c:auto val="1"/>
        <c:lblAlgn val="ctr"/>
        <c:lblOffset val="100"/>
        <c:noMultiLvlLbl val="0"/>
      </c:catAx>
      <c:valAx>
        <c:axId val="452285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291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[paras_energy_dataset.xlsx]pivot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0000"/>
              </a:gs>
              <a:gs pos="29000">
                <a:srgbClr val="FFFF00"/>
              </a:gs>
              <a:gs pos="100000">
                <a:schemeClr val="accent6">
                  <a:lumMod val="50000"/>
                </a:schemeClr>
              </a:gs>
            </a:gsLst>
            <a:lin ang="10800000" scaled="1"/>
            <a:tileRect/>
          </a:gradFill>
          <a:ln>
            <a:noFill/>
          </a:ln>
          <a:effectLst/>
          <a:sp3d/>
        </c:spPr>
        <c:marker>
          <c:symbol val="none"/>
        </c:marker>
        <c:dLbl>
          <c:idx val="0"/>
          <c:numFmt formatCode="#,##0" sourceLinked="0"/>
          <c:spPr>
            <a:noFill/>
            <a:ln>
              <a:noFill/>
            </a:ln>
            <a:effectLst/>
          </c:spPr>
          <c:txPr>
            <a:bodyPr rot="0" spcFirstLastPara="1" vertOverflow="ellipsis" vert="horz" wrap="square" lIns="91440" tIns="19050" rIns="91440" bIns="19050" anchor="t" anchorCtr="0">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flip="none" rotWithShape="1">
            <a:gsLst>
              <a:gs pos="0">
                <a:srgbClr val="FF0000"/>
              </a:gs>
              <a:gs pos="29000">
                <a:srgbClr val="FFFF00"/>
              </a:gs>
              <a:gs pos="100000">
                <a:schemeClr val="accent6">
                  <a:lumMod val="50000"/>
                </a:schemeClr>
              </a:gs>
            </a:gsLst>
            <a:lin ang="10800000" scaled="1"/>
            <a:tileRect/>
          </a:gradFill>
          <a:ln>
            <a:noFill/>
          </a:ln>
          <a:effectLst/>
          <a:sp3d/>
        </c:spPr>
        <c:dLbl>
          <c:idx val="0"/>
          <c:layout>
            <c:manualLayout>
              <c:x val="-6.6489361702127339E-3"/>
              <c:y val="1.7482517482517369E-2"/>
            </c:manualLayout>
          </c:layout>
          <c:numFmt formatCode="#,##0" sourceLinked="0"/>
          <c:spPr>
            <a:noFill/>
            <a:ln>
              <a:noFill/>
            </a:ln>
            <a:effectLst/>
          </c:spPr>
          <c:txPr>
            <a:bodyPr rot="0" spcFirstLastPara="1" vertOverflow="ellipsis" vert="horz" wrap="square" lIns="91440" tIns="19050" rIns="91440" bIns="19050" anchor="t" anchorCtr="0">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728388339755405"/>
                  <c:h val="0.12787566763944719"/>
                </c:manualLayout>
              </c15:layout>
            </c:ext>
          </c:extLst>
        </c:dLbl>
      </c:pivotFmt>
      <c:pivotFmt>
        <c:idx val="4"/>
        <c:spPr>
          <a:gradFill flip="none" rotWithShape="1">
            <a:gsLst>
              <a:gs pos="0">
                <a:srgbClr val="FF0000"/>
              </a:gs>
              <a:gs pos="29000">
                <a:srgbClr val="FFFF00"/>
              </a:gs>
              <a:gs pos="100000">
                <a:schemeClr val="accent6">
                  <a:lumMod val="50000"/>
                </a:schemeClr>
              </a:gs>
            </a:gsLst>
            <a:lin ang="10800000" scaled="1"/>
            <a:tileRect/>
          </a:gradFill>
          <a:ln>
            <a:noFill/>
          </a:ln>
          <a:effectLst/>
          <a:sp3d/>
        </c:spPr>
        <c:dLbl>
          <c:idx val="0"/>
          <c:layout>
            <c:manualLayout>
              <c:x val="0"/>
              <c:y val="2.797230328726379E-2"/>
            </c:manualLayout>
          </c:layout>
          <c:numFmt formatCode="#,##0" sourceLinked="0"/>
          <c:spPr>
            <a:noFill/>
            <a:ln>
              <a:noFill/>
            </a:ln>
            <a:effectLst/>
          </c:spPr>
          <c:txPr>
            <a:bodyPr rot="0" spcFirstLastPara="1" vertOverflow="ellipsis" vert="horz" wrap="square" lIns="91440" tIns="19050" rIns="91440" bIns="19050" anchor="t" anchorCtr="0">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335860278103535"/>
                  <c:h val="0.14186168162546114"/>
                </c:manualLayout>
              </c15:layout>
            </c:ext>
          </c:extLst>
        </c:dLbl>
      </c:pivotFmt>
      <c:pivotFmt>
        <c:idx val="5"/>
        <c:spPr>
          <a:gradFill flip="none" rotWithShape="1">
            <a:gsLst>
              <a:gs pos="0">
                <a:srgbClr val="FF0000"/>
              </a:gs>
              <a:gs pos="29000">
                <a:srgbClr val="FFFF00"/>
              </a:gs>
              <a:gs pos="100000">
                <a:schemeClr val="accent6">
                  <a:lumMod val="50000"/>
                </a:schemeClr>
              </a:gs>
            </a:gsLst>
            <a:lin ang="10800000" scaled="1"/>
            <a:tileRect/>
          </a:gradFill>
          <a:ln>
            <a:noFill/>
          </a:ln>
          <a:effectLst/>
          <a:sp3d/>
        </c:spPr>
        <c:dLbl>
          <c:idx val="0"/>
          <c:layout>
            <c:manualLayout>
              <c:x val="-2.3936589043390848E-2"/>
              <c:y val="3.4965034965034898E-2"/>
            </c:manualLayout>
          </c:layout>
          <c:numFmt formatCode="#,##0" sourceLinked="0"/>
          <c:spPr>
            <a:noFill/>
            <a:ln>
              <a:noFill/>
            </a:ln>
            <a:effectLst/>
          </c:spPr>
          <c:txPr>
            <a:bodyPr rot="0" spcFirstLastPara="1" vertOverflow="ellipsis" vert="horz" wrap="square" lIns="91440" tIns="19050" rIns="91440" bIns="19050" anchor="t" anchorCtr="0">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154590383648854"/>
                  <c:h val="0.16983370959748911"/>
                </c:manualLayout>
              </c15:layout>
            </c:ext>
          </c:extLst>
        </c:dLbl>
      </c:pivotFmt>
      <c:pivotFmt>
        <c:idx val="6"/>
        <c:spPr>
          <a:gradFill flip="none" rotWithShape="1">
            <a:gsLst>
              <a:gs pos="0">
                <a:srgbClr val="FF0000"/>
              </a:gs>
              <a:gs pos="29000">
                <a:srgbClr val="FFFF00"/>
              </a:gs>
              <a:gs pos="100000">
                <a:schemeClr val="accent6">
                  <a:lumMod val="50000"/>
                </a:schemeClr>
              </a:gs>
            </a:gsLst>
            <a:lin ang="10800000" scaled="1"/>
            <a:tileRect/>
          </a:gradFill>
          <a:ln>
            <a:noFill/>
          </a:ln>
          <a:effectLst/>
          <a:sp3d/>
        </c:spPr>
        <c:dLbl>
          <c:idx val="0"/>
          <c:layout>
            <c:manualLayout>
              <c:x val="-1.3297872340425638E-2"/>
              <c:y val="6.9932823082429381E-3"/>
            </c:manualLayout>
          </c:layout>
          <c:numFmt formatCode="#,##0" sourceLinked="0"/>
          <c:spPr>
            <a:noFill/>
            <a:ln>
              <a:noFill/>
            </a:ln>
            <a:effectLst/>
          </c:spPr>
          <c:txPr>
            <a:bodyPr rot="0" spcFirstLastPara="1" vertOverflow="ellipsis" vert="horz" wrap="square" lIns="91440" tIns="19050" rIns="91440" bIns="19050" anchor="t" anchorCtr="0">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026930809180766"/>
                  <c:h val="0.14186168162546114"/>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c:f>
              <c:strCache>
                <c:ptCount val="1"/>
                <c:pt idx="0">
                  <c:v>Total</c:v>
                </c:pt>
              </c:strCache>
            </c:strRef>
          </c:tx>
          <c:spPr>
            <a:gradFill flip="none" rotWithShape="1">
              <a:gsLst>
                <a:gs pos="0">
                  <a:srgbClr val="FF0000"/>
                </a:gs>
                <a:gs pos="29000">
                  <a:srgbClr val="FFFF00"/>
                </a:gs>
                <a:gs pos="100000">
                  <a:schemeClr val="accent6">
                    <a:lumMod val="50000"/>
                  </a:schemeClr>
                </a:gs>
              </a:gsLst>
              <a:lin ang="10800000" scaled="1"/>
              <a:tileRect/>
            </a:gradFill>
            <a:ln>
              <a:noFill/>
            </a:ln>
            <a:effectLst/>
            <a:sp3d/>
          </c:spPr>
          <c:invertIfNegative val="0"/>
          <c:dLbls>
            <c:dLbl>
              <c:idx val="0"/>
              <c:layout>
                <c:manualLayout>
                  <c:x val="-6.6489361702127339E-3"/>
                  <c:y val="1.7482517482517369E-2"/>
                </c:manualLayout>
              </c:layout>
              <c:numFmt formatCode="#,##0" sourceLinked="0"/>
              <c:spPr>
                <a:noFill/>
                <a:ln>
                  <a:noFill/>
                </a:ln>
                <a:effectLst/>
              </c:spPr>
              <c:txPr>
                <a:bodyPr rot="0" spcFirstLastPara="1" vertOverflow="ellipsis" vert="horz" wrap="square" lIns="91440" tIns="19050" rIns="91440" bIns="19050" anchor="t" anchorCtr="0">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728388339755405"/>
                      <c:h val="0.12787566763944719"/>
                    </c:manualLayout>
                  </c15:layout>
                </c:ext>
                <c:ext xmlns:c16="http://schemas.microsoft.com/office/drawing/2014/chart" uri="{C3380CC4-5D6E-409C-BE32-E72D297353CC}">
                  <c16:uniqueId val="{00000001-F0E0-4DD8-8A05-27A67EC8C188}"/>
                </c:ext>
              </c:extLst>
            </c:dLbl>
            <c:dLbl>
              <c:idx val="1"/>
              <c:layout>
                <c:manualLayout>
                  <c:x val="0"/>
                  <c:y val="2.797230328726379E-2"/>
                </c:manualLayout>
              </c:layout>
              <c:showLegendKey val="0"/>
              <c:showVal val="1"/>
              <c:showCatName val="0"/>
              <c:showSerName val="0"/>
              <c:showPercent val="0"/>
              <c:showBubbleSize val="0"/>
              <c:extLst>
                <c:ext xmlns:c15="http://schemas.microsoft.com/office/drawing/2012/chart" uri="{CE6537A1-D6FC-4f65-9D91-7224C49458BB}">
                  <c15:layout>
                    <c:manualLayout>
                      <c:w val="0.27335860278103535"/>
                      <c:h val="0.14186168162546114"/>
                    </c:manualLayout>
                  </c15:layout>
                </c:ext>
                <c:ext xmlns:c16="http://schemas.microsoft.com/office/drawing/2014/chart" uri="{C3380CC4-5D6E-409C-BE32-E72D297353CC}">
                  <c16:uniqueId val="{00000002-F0E0-4DD8-8A05-27A67EC8C188}"/>
                </c:ext>
              </c:extLst>
            </c:dLbl>
            <c:dLbl>
              <c:idx val="2"/>
              <c:layout>
                <c:manualLayout>
                  <c:x val="-2.3936589043390848E-2"/>
                  <c:y val="3.4965034965034898E-2"/>
                </c:manualLayout>
              </c:layout>
              <c:numFmt formatCode="#,##0" sourceLinked="0"/>
              <c:spPr>
                <a:noFill/>
                <a:ln>
                  <a:noFill/>
                </a:ln>
                <a:effectLst/>
              </c:spPr>
              <c:txPr>
                <a:bodyPr rot="0" spcFirstLastPara="1" vertOverflow="ellipsis" vert="horz" wrap="square" lIns="91440" tIns="19050" rIns="91440" bIns="19050" anchor="t" anchorCtr="0">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154590383648854"/>
                      <c:h val="0.16983370959748911"/>
                    </c:manualLayout>
                  </c15:layout>
                </c:ext>
                <c:ext xmlns:c16="http://schemas.microsoft.com/office/drawing/2014/chart" uri="{C3380CC4-5D6E-409C-BE32-E72D297353CC}">
                  <c16:uniqueId val="{00000004-F0E0-4DD8-8A05-27A67EC8C188}"/>
                </c:ext>
              </c:extLst>
            </c:dLbl>
            <c:dLbl>
              <c:idx val="3"/>
              <c:layout>
                <c:manualLayout>
                  <c:x val="-1.3297872340425638E-2"/>
                  <c:y val="6.9932823082429381E-3"/>
                </c:manualLayout>
              </c:layout>
              <c:showLegendKey val="0"/>
              <c:showVal val="1"/>
              <c:showCatName val="0"/>
              <c:showSerName val="0"/>
              <c:showPercent val="0"/>
              <c:showBubbleSize val="0"/>
              <c:extLst>
                <c:ext xmlns:c15="http://schemas.microsoft.com/office/drawing/2012/chart" uri="{CE6537A1-D6FC-4f65-9D91-7224C49458BB}">
                  <c15:layout>
                    <c:manualLayout>
                      <c:w val="0.27026930809180766"/>
                      <c:h val="0.14186168162546114"/>
                    </c:manualLayout>
                  </c15:layout>
                </c:ext>
                <c:ext xmlns:c16="http://schemas.microsoft.com/office/drawing/2014/chart" uri="{C3380CC4-5D6E-409C-BE32-E72D297353CC}">
                  <c16:uniqueId val="{00000003-F0E0-4DD8-8A05-27A67EC8C188}"/>
                </c:ext>
              </c:extLst>
            </c:dLbl>
            <c:numFmt formatCode="#,##0" sourceLinked="0"/>
            <c:spPr>
              <a:noFill/>
              <a:ln>
                <a:noFill/>
              </a:ln>
              <a:effectLst/>
            </c:spPr>
            <c:txPr>
              <a:bodyPr rot="0" spcFirstLastPara="1" vertOverflow="ellipsis" vert="horz" wrap="square" lIns="91440" tIns="19050" rIns="91440" bIns="19050" anchor="t" anchorCtr="0">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Abuja Plant</c:v>
                </c:pt>
                <c:pt idx="1">
                  <c:v>Kano Plant</c:v>
                </c:pt>
                <c:pt idx="2">
                  <c:v>Lagos Plant</c:v>
                </c:pt>
                <c:pt idx="3">
                  <c:v>Port Harcourt Plant</c:v>
                </c:pt>
              </c:strCache>
            </c:strRef>
          </c:cat>
          <c:val>
            <c:numRef>
              <c:f>'pivot tables'!$B$4:$B$8</c:f>
              <c:numCache>
                <c:formatCode>_("$"* #,##0_);_("$"* \(#,##0\);_("$"* "-"??_);_(@_)</c:formatCode>
                <c:ptCount val="4"/>
                <c:pt idx="0">
                  <c:v>15003964.010000002</c:v>
                </c:pt>
                <c:pt idx="1">
                  <c:v>19727114.009999998</c:v>
                </c:pt>
                <c:pt idx="2">
                  <c:v>15082178.640000001</c:v>
                </c:pt>
                <c:pt idx="3">
                  <c:v>12127040.380000001</c:v>
                </c:pt>
              </c:numCache>
            </c:numRef>
          </c:val>
          <c:extLst>
            <c:ext xmlns:c16="http://schemas.microsoft.com/office/drawing/2014/chart" uri="{C3380CC4-5D6E-409C-BE32-E72D297353CC}">
              <c16:uniqueId val="{00000000-F0E0-4DD8-8A05-27A67EC8C188}"/>
            </c:ext>
          </c:extLst>
        </c:ser>
        <c:dLbls>
          <c:showLegendKey val="0"/>
          <c:showVal val="1"/>
          <c:showCatName val="0"/>
          <c:showSerName val="0"/>
          <c:showPercent val="0"/>
          <c:showBubbleSize val="0"/>
        </c:dLbls>
        <c:gapWidth val="150"/>
        <c:shape val="box"/>
        <c:axId val="452285487"/>
        <c:axId val="452291247"/>
        <c:axId val="0"/>
      </c:bar3DChart>
      <c:catAx>
        <c:axId val="45228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291247"/>
        <c:crosses val="autoZero"/>
        <c:auto val="1"/>
        <c:lblAlgn val="ctr"/>
        <c:lblOffset val="100"/>
        <c:noMultiLvlLbl val="0"/>
      </c:catAx>
      <c:valAx>
        <c:axId val="452291247"/>
        <c:scaling>
          <c:orientation val="minMax"/>
        </c:scaling>
        <c:delete val="1"/>
        <c:axPos val="b"/>
        <c:numFmt formatCode="_(&quot;$&quot;* #,##0_);_(&quot;$&quot;* \(#,##0\);_(&quot;$&quot;* &quot;-&quot;??_);_(@_)" sourceLinked="1"/>
        <c:majorTickMark val="none"/>
        <c:minorTickMark val="none"/>
        <c:tickLblPos val="nextTo"/>
        <c:crossAx val="45228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Fuel</a:t>
            </a:r>
            <a:r>
              <a:rPr lang="en-US" baseline="0">
                <a:solidFill>
                  <a:schemeClr val="bg1"/>
                </a:solidFill>
              </a:rPr>
              <a:t> Cost by Plant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8000">
                <a:srgbClr val="FFC000"/>
              </a:gs>
              <a:gs pos="63000">
                <a:srgbClr val="FFFF00"/>
              </a:gs>
              <a:gs pos="100000">
                <a:schemeClr val="accent6">
                  <a:lumMod val="50000"/>
                </a:schemeClr>
              </a:gs>
            </a:gsLst>
            <a:lin ang="5400000" scaled="1"/>
            <a:tileRect/>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38000">
                  <a:srgbClr val="FFC000"/>
                </a:gs>
                <a:gs pos="63000">
                  <a:srgbClr val="FFFF00"/>
                </a:gs>
                <a:gs pos="100000">
                  <a:schemeClr val="accent6">
                    <a:lumMod val="50000"/>
                  </a:schemeClr>
                </a:gs>
              </a:gsLst>
              <a:lin ang="5400000" scaled="1"/>
              <a:tileRect/>
            </a:gradFill>
            <a:ln>
              <a:noFill/>
            </a:ln>
            <a:effectLst>
              <a:outerShdw blurRad="57150" dist="19050" dir="5400000" algn="ctr" rotWithShape="0">
                <a:srgbClr val="000000">
                  <a:alpha val="63000"/>
                </a:srgbClr>
              </a:outerShdw>
            </a:effectLst>
          </c:spPr>
          <c:invertIfNegative val="0"/>
          <c:cat>
            <c:strLit>
              <c:ptCount val="4"/>
              <c:pt idx="0">
                <c:v>Abuja Plant</c:v>
              </c:pt>
              <c:pt idx="1">
                <c:v>Kano Plant</c:v>
              </c:pt>
              <c:pt idx="2">
                <c:v>Lagos Plant</c:v>
              </c:pt>
              <c:pt idx="3">
                <c:v>Port Harcourt Plant</c:v>
              </c:pt>
            </c:strLit>
          </c:cat>
          <c:val>
            <c:numLit>
              <c:formatCode>General</c:formatCode>
              <c:ptCount val="4"/>
              <c:pt idx="0">
                <c:v>56995622.359999977</c:v>
              </c:pt>
              <c:pt idx="1">
                <c:v>46869976.82</c:v>
              </c:pt>
              <c:pt idx="2">
                <c:v>64882713.269999996</c:v>
              </c:pt>
              <c:pt idx="3">
                <c:v>53060588.230000012</c:v>
              </c:pt>
            </c:numLit>
          </c:val>
          <c:extLst>
            <c:ext xmlns:c16="http://schemas.microsoft.com/office/drawing/2014/chart" uri="{C3380CC4-5D6E-409C-BE32-E72D297353CC}">
              <c16:uniqueId val="{00000000-F0D5-4859-965C-6E89DF693FEA}"/>
            </c:ext>
          </c:extLst>
        </c:ser>
        <c:dLbls>
          <c:showLegendKey val="0"/>
          <c:showVal val="0"/>
          <c:showCatName val="0"/>
          <c:showSerName val="0"/>
          <c:showPercent val="0"/>
          <c:showBubbleSize val="0"/>
        </c:dLbls>
        <c:gapWidth val="100"/>
        <c:overlap val="-24"/>
        <c:axId val="452274447"/>
        <c:axId val="452274927"/>
      </c:barChart>
      <c:catAx>
        <c:axId val="452274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274927"/>
        <c:crosses val="autoZero"/>
        <c:auto val="1"/>
        <c:lblAlgn val="ctr"/>
        <c:lblOffset val="100"/>
        <c:noMultiLvlLbl val="0"/>
      </c:catAx>
      <c:valAx>
        <c:axId val="4522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27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[paras_energy_dataset.xlsx]pivot tables!PivotTable50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rPr>
              <a:t>Energy</a:t>
            </a:r>
            <a:r>
              <a:rPr lang="en-US" sz="1200" b="1" baseline="0">
                <a:solidFill>
                  <a:schemeClr val="bg1"/>
                </a:solidFill>
              </a:rPr>
              <a:t> Generated by Plant</a:t>
            </a:r>
            <a:endParaRPr lang="en-US" sz="1200" b="1">
              <a:solidFill>
                <a:schemeClr val="bg1"/>
              </a:solidFill>
            </a:endParaRPr>
          </a:p>
        </c:rich>
      </c:tx>
      <c:layout>
        <c:manualLayout>
          <c:xMode val="edge"/>
          <c:yMode val="edge"/>
          <c:x val="0.12695187165775401"/>
          <c:y val="5.2209142174059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0">
                <a:srgbClr val="00B050"/>
              </a:gs>
              <a:gs pos="51000">
                <a:srgbClr val="FFFF00"/>
              </a:gs>
              <a:gs pos="90000">
                <a:srgbClr val="FF0000"/>
              </a:gs>
            </a:gsLst>
            <a:lin ang="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tables'!$H$10</c:f>
              <c:strCache>
                <c:ptCount val="1"/>
                <c:pt idx="0">
                  <c:v>Total</c:v>
                </c:pt>
              </c:strCache>
            </c:strRef>
          </c:tx>
          <c:spPr>
            <a:gradFill>
              <a:gsLst>
                <a:gs pos="0">
                  <a:srgbClr val="00B050"/>
                </a:gs>
                <a:gs pos="51000">
                  <a:srgbClr val="FFFF00"/>
                </a:gs>
                <a:gs pos="90000">
                  <a:srgbClr val="FF0000"/>
                </a:gs>
              </a:gsLst>
              <a:lin ang="0" scaled="1"/>
            </a:gradFill>
            <a:ln>
              <a:noFill/>
            </a:ln>
            <a:effectLst/>
            <a:sp3d/>
          </c:spPr>
          <c:invertIfNegative val="0"/>
          <c:cat>
            <c:strRef>
              <c:f>'pivot tables'!$G$11:$G$15</c:f>
              <c:strCache>
                <c:ptCount val="4"/>
                <c:pt idx="0">
                  <c:v>Abuja Plant</c:v>
                </c:pt>
                <c:pt idx="1">
                  <c:v>Kano Plant</c:v>
                </c:pt>
                <c:pt idx="2">
                  <c:v>Lagos Plant</c:v>
                </c:pt>
                <c:pt idx="3">
                  <c:v>Port Harcourt Plant</c:v>
                </c:pt>
              </c:strCache>
            </c:strRef>
          </c:cat>
          <c:val>
            <c:numRef>
              <c:f>'pivot tables'!$H$11:$H$15</c:f>
              <c:numCache>
                <c:formatCode>_("$"* #,##0_);_("$"* \(#,##0\);_("$"* "-"??_);_(@_)</c:formatCode>
                <c:ptCount val="4"/>
                <c:pt idx="0">
                  <c:v>15058.550000000001</c:v>
                </c:pt>
                <c:pt idx="1">
                  <c:v>19673.23</c:v>
                </c:pt>
                <c:pt idx="2">
                  <c:v>15239.600000000002</c:v>
                </c:pt>
                <c:pt idx="3">
                  <c:v>11852.769999999999</c:v>
                </c:pt>
              </c:numCache>
            </c:numRef>
          </c:val>
          <c:extLst>
            <c:ext xmlns:c16="http://schemas.microsoft.com/office/drawing/2014/chart" uri="{C3380CC4-5D6E-409C-BE32-E72D297353CC}">
              <c16:uniqueId val="{00000001-1D9E-4AAC-B810-D6F0943EE52B}"/>
            </c:ext>
          </c:extLst>
        </c:ser>
        <c:dLbls>
          <c:showLegendKey val="0"/>
          <c:showVal val="0"/>
          <c:showCatName val="0"/>
          <c:showSerName val="0"/>
          <c:showPercent val="0"/>
          <c:showBubbleSize val="0"/>
        </c:dLbls>
        <c:gapWidth val="70"/>
        <c:shape val="box"/>
        <c:axId val="188380591"/>
        <c:axId val="188378191"/>
        <c:axId val="0"/>
      </c:bar3DChart>
      <c:catAx>
        <c:axId val="18838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378191"/>
        <c:crosses val="autoZero"/>
        <c:auto val="1"/>
        <c:lblAlgn val="ctr"/>
        <c:lblOffset val="100"/>
        <c:noMultiLvlLbl val="0"/>
      </c:catAx>
      <c:valAx>
        <c:axId val="188378191"/>
        <c:scaling>
          <c:orientation val="minMax"/>
        </c:scaling>
        <c:delete val="1"/>
        <c:axPos val="b"/>
        <c:numFmt formatCode="_(&quot;$&quot;* #,##0_);_(&quot;$&quot;* \(#,##0\);_(&quot;$&quot;* &quot;-&quot;??_);_(@_)" sourceLinked="1"/>
        <c:majorTickMark val="none"/>
        <c:minorTickMark val="none"/>
        <c:tickLblPos val="nextTo"/>
        <c:crossAx val="1883805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 Of</a:t>
            </a:r>
            <a:r>
              <a:rPr lang="en-US" b="1" baseline="0">
                <a:solidFill>
                  <a:schemeClr val="bg1"/>
                </a:solidFill>
              </a:rPr>
              <a:t> Plant Revenue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noFill/>
          </a:ln>
          <a:effectLst/>
        </c:spPr>
        <c:dLbl>
          <c:idx val="0"/>
          <c:layout>
            <c:manualLayout>
              <c:x val="0.125"/>
              <c:y val="-0.1198738170347003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20108695652173902"/>
              <c:y val="3.785488958990536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19050">
            <a:noFill/>
          </a:ln>
          <a:effectLst/>
        </c:spPr>
        <c:dLbl>
          <c:idx val="0"/>
          <c:layout>
            <c:manualLayout>
              <c:x val="-0.1630434782608696"/>
              <c:y val="5.678233438485792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0.13043478260869565"/>
              <c:y val="-0.1009463722397476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rgbClr val="C00000"/>
              </a:solidFill>
              <a:ln w="19050">
                <a:noFill/>
              </a:ln>
              <a:effectLst/>
            </c:spPr>
            <c:extLst>
              <c:ext xmlns:c16="http://schemas.microsoft.com/office/drawing/2014/chart" uri="{C3380CC4-5D6E-409C-BE32-E72D297353CC}">
                <c16:uniqueId val="{00000001-A8C2-4070-A25F-B4E0716776E8}"/>
              </c:ext>
            </c:extLst>
          </c:dPt>
          <c:dPt>
            <c:idx val="1"/>
            <c:bubble3D val="0"/>
            <c:spPr>
              <a:solidFill>
                <a:schemeClr val="accent2"/>
              </a:solidFill>
              <a:ln w="19050">
                <a:noFill/>
              </a:ln>
              <a:effectLst/>
            </c:spPr>
            <c:extLst>
              <c:ext xmlns:c16="http://schemas.microsoft.com/office/drawing/2014/chart" uri="{C3380CC4-5D6E-409C-BE32-E72D297353CC}">
                <c16:uniqueId val="{00000003-A8C2-4070-A25F-B4E0716776E8}"/>
              </c:ext>
            </c:extLst>
          </c:dPt>
          <c:dPt>
            <c:idx val="2"/>
            <c:bubble3D val="0"/>
            <c:spPr>
              <a:solidFill>
                <a:srgbClr val="FFFF00"/>
              </a:solidFill>
              <a:ln w="19050">
                <a:noFill/>
              </a:ln>
              <a:effectLst/>
            </c:spPr>
            <c:extLst>
              <c:ext xmlns:c16="http://schemas.microsoft.com/office/drawing/2014/chart" uri="{C3380CC4-5D6E-409C-BE32-E72D297353CC}">
                <c16:uniqueId val="{00000005-A8C2-4070-A25F-B4E0716776E8}"/>
              </c:ext>
            </c:extLst>
          </c:dPt>
          <c:dPt>
            <c:idx val="3"/>
            <c:bubble3D val="0"/>
            <c:spPr>
              <a:solidFill>
                <a:schemeClr val="accent4"/>
              </a:solidFill>
              <a:ln w="19050">
                <a:noFill/>
              </a:ln>
              <a:effectLst/>
            </c:spPr>
            <c:extLst>
              <c:ext xmlns:c16="http://schemas.microsoft.com/office/drawing/2014/chart" uri="{C3380CC4-5D6E-409C-BE32-E72D297353CC}">
                <c16:uniqueId val="{00000007-A8C2-4070-A25F-B4E0716776E8}"/>
              </c:ext>
            </c:extLst>
          </c:dPt>
          <c:dLbls>
            <c:dLbl>
              <c:idx val="0"/>
              <c:layout>
                <c:manualLayout>
                  <c:x val="0.125"/>
                  <c:y val="-0.11987381703470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C2-4070-A25F-B4E0716776E8}"/>
                </c:ext>
              </c:extLst>
            </c:dLbl>
            <c:dLbl>
              <c:idx val="1"/>
              <c:layout>
                <c:manualLayout>
                  <c:x val="0.20108695652173902"/>
                  <c:y val="3.7854889589905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C2-4070-A25F-B4E0716776E8}"/>
                </c:ext>
              </c:extLst>
            </c:dLbl>
            <c:dLbl>
              <c:idx val="2"/>
              <c:layout>
                <c:manualLayout>
                  <c:x val="-0.1630434782608696"/>
                  <c:y val="5.6782334384857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C2-4070-A25F-B4E0716776E8}"/>
                </c:ext>
              </c:extLst>
            </c:dLbl>
            <c:dLbl>
              <c:idx val="3"/>
              <c:layout>
                <c:manualLayout>
                  <c:x val="-0.13043478260869565"/>
                  <c:y val="-0.10094637223974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C2-4070-A25F-B4E0716776E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Abuja Plant</c:v>
              </c:pt>
              <c:pt idx="1">
                <c:v>Kano Plant</c:v>
              </c:pt>
              <c:pt idx="2">
                <c:v>Lagos Plant</c:v>
              </c:pt>
              <c:pt idx="3">
                <c:v>Port Harcourt Plant</c:v>
              </c:pt>
            </c:strLit>
          </c:cat>
          <c:val>
            <c:numLit>
              <c:formatCode>General</c:formatCode>
              <c:ptCount val="4"/>
              <c:pt idx="0">
                <c:v>0.25592416670159762</c:v>
              </c:pt>
              <c:pt idx="1">
                <c:v>0.2139162790089493</c:v>
              </c:pt>
              <c:pt idx="2">
                <c:v>0.29092542374152686</c:v>
              </c:pt>
              <c:pt idx="3">
                <c:v>0.2392341305479263</c:v>
              </c:pt>
            </c:numLit>
          </c:val>
          <c:extLst>
            <c:ext xmlns:c16="http://schemas.microsoft.com/office/drawing/2014/chart" uri="{C3380CC4-5D6E-409C-BE32-E72D297353CC}">
              <c16:uniqueId val="{00000008-A8C2-4070-A25F-B4E0716776E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Analysis!$B$12</c:f>
              <c:strCache>
                <c:ptCount val="1"/>
                <c:pt idx="0">
                  <c:v>Revenue (NGN)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Analysis!$A$13:$A$16</c:f>
              <c:strCache>
                <c:ptCount val="4"/>
                <c:pt idx="0">
                  <c:v>Lagos Plant</c:v>
                </c:pt>
                <c:pt idx="1">
                  <c:v>Abuja Plant</c:v>
                </c:pt>
                <c:pt idx="2">
                  <c:v>Port Harcourt Plant</c:v>
                </c:pt>
                <c:pt idx="3">
                  <c:v>Kano Plant</c:v>
                </c:pt>
              </c:strCache>
            </c:strRef>
          </c:cat>
          <c:val>
            <c:numRef>
              <c:f>Analysis!$B$13:$B$16</c:f>
              <c:numCache>
                <c:formatCode>\₦#,##0.00</c:formatCode>
                <c:ptCount val="4"/>
                <c:pt idx="0">
                  <c:v>150636399.40000007</c:v>
                </c:pt>
                <c:pt idx="1">
                  <c:v>132513324.18999995</c:v>
                </c:pt>
                <c:pt idx="2">
                  <c:v>123871497.97999997</c:v>
                </c:pt>
                <c:pt idx="3">
                  <c:v>110762330.86999995</c:v>
                </c:pt>
              </c:numCache>
            </c:numRef>
          </c:val>
          <c:extLst>
            <c:ext xmlns:c16="http://schemas.microsoft.com/office/drawing/2014/chart" uri="{C3380CC4-5D6E-409C-BE32-E72D297353CC}">
              <c16:uniqueId val="{00000000-6493-4ECB-B933-A1F5B1939118}"/>
            </c:ext>
          </c:extLst>
        </c:ser>
        <c:dLbls>
          <c:showLegendKey val="0"/>
          <c:showVal val="0"/>
          <c:showCatName val="0"/>
          <c:showSerName val="0"/>
          <c:showPercent val="0"/>
          <c:showBubbleSize val="0"/>
        </c:dLbls>
        <c:gapWidth val="219"/>
        <c:overlap val="-27"/>
        <c:axId val="1293613168"/>
        <c:axId val="1293608368"/>
      </c:barChart>
      <c:catAx>
        <c:axId val="129361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08368"/>
        <c:crosses val="autoZero"/>
        <c:auto val="1"/>
        <c:lblAlgn val="ctr"/>
        <c:lblOffset val="100"/>
        <c:noMultiLvlLbl val="0"/>
      </c:catAx>
      <c:valAx>
        <c:axId val="129360836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1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Downtime by 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Analysis!$I$12</c:f>
              <c:strCache>
                <c:ptCount val="1"/>
                <c:pt idx="0">
                  <c:v>Downtime (Hours)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Analysis!$H$13:$H$16</c:f>
              <c:strCache>
                <c:ptCount val="4"/>
                <c:pt idx="0">
                  <c:v>Lagos Plant</c:v>
                </c:pt>
                <c:pt idx="1">
                  <c:v>Abuja Plant</c:v>
                </c:pt>
                <c:pt idx="2">
                  <c:v>Port Harcourt Plant</c:v>
                </c:pt>
                <c:pt idx="3">
                  <c:v>Kano Plant</c:v>
                </c:pt>
              </c:strCache>
            </c:strRef>
          </c:cat>
          <c:val>
            <c:numRef>
              <c:f>Analysis!$I$13:$I$16</c:f>
              <c:numCache>
                <c:formatCode>0</c:formatCode>
                <c:ptCount val="4"/>
                <c:pt idx="0">
                  <c:v>255</c:v>
                </c:pt>
                <c:pt idx="1">
                  <c:v>263</c:v>
                </c:pt>
                <c:pt idx="2">
                  <c:v>221</c:v>
                </c:pt>
                <c:pt idx="3">
                  <c:v>275</c:v>
                </c:pt>
              </c:numCache>
            </c:numRef>
          </c:val>
          <c:extLst>
            <c:ext xmlns:c16="http://schemas.microsoft.com/office/drawing/2014/chart" uri="{C3380CC4-5D6E-409C-BE32-E72D297353CC}">
              <c16:uniqueId val="{00000000-214A-494B-ACC7-4A257B685B9A}"/>
            </c:ext>
          </c:extLst>
        </c:ser>
        <c:dLbls>
          <c:showLegendKey val="0"/>
          <c:showVal val="0"/>
          <c:showCatName val="0"/>
          <c:showSerName val="0"/>
          <c:showPercent val="0"/>
          <c:showBubbleSize val="0"/>
        </c:dLbls>
        <c:gapWidth val="182"/>
        <c:axId val="1293616528"/>
        <c:axId val="1293614608"/>
      </c:barChart>
      <c:catAx>
        <c:axId val="129361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14608"/>
        <c:crosses val="autoZero"/>
        <c:auto val="1"/>
        <c:lblAlgn val="ctr"/>
        <c:lblOffset val="100"/>
        <c:noMultiLvlLbl val="0"/>
      </c:catAx>
      <c:valAx>
        <c:axId val="129361460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Analysis!$K$1</c:f>
              <c:strCache>
                <c:ptCount val="1"/>
                <c:pt idx="0">
                  <c:v>Revenue (NGN)</c:v>
                </c:pt>
              </c:strCache>
            </c:strRef>
          </c:tx>
          <c:spPr>
            <a:ln w="28575" cap="rnd">
              <a:solidFill>
                <a:schemeClr val="accent1"/>
              </a:solidFill>
              <a:round/>
            </a:ln>
            <a:effectLst/>
          </c:spPr>
          <c:marker>
            <c:symbol val="none"/>
          </c:marker>
          <c:cat>
            <c:strRef>
              <c:f>Analysis!$J$2:$J$13</c:f>
              <c:strCache>
                <c:ptCount val="12"/>
                <c:pt idx="0">
                  <c:v>2025-01-01T00:00:00.000Z</c:v>
                </c:pt>
                <c:pt idx="1">
                  <c:v>2025-02-01T00:00:00.000Z</c:v>
                </c:pt>
                <c:pt idx="2">
                  <c:v>2025-03-01T00:00:00.000Z</c:v>
                </c:pt>
                <c:pt idx="3">
                  <c:v>2025-04-01T00:00:00.000Z</c:v>
                </c:pt>
                <c:pt idx="4">
                  <c:v>2025-05-01T00:00:00.000Z</c:v>
                </c:pt>
                <c:pt idx="5">
                  <c:v>2025-06-01T00:00:00.000Z</c:v>
                </c:pt>
                <c:pt idx="6">
                  <c:v>2025-07-01T00:00:00.000Z</c:v>
                </c:pt>
                <c:pt idx="7">
                  <c:v>2025-08-01T00:00:00.000Z</c:v>
                </c:pt>
                <c:pt idx="8">
                  <c:v>2025-09-01T00:00:00.000Z</c:v>
                </c:pt>
                <c:pt idx="9">
                  <c:v>2025-10-01T00:00:00.000Z</c:v>
                </c:pt>
                <c:pt idx="10">
                  <c:v>2025-11-01T00:00:00.000Z</c:v>
                </c:pt>
                <c:pt idx="11">
                  <c:v>2025-12-01T00:00:00.000Z</c:v>
                </c:pt>
              </c:strCache>
            </c:strRef>
          </c:cat>
          <c:val>
            <c:numRef>
              <c:f>Analysis!$K$2:$K$13</c:f>
              <c:numCache>
                <c:formatCode>\₦#,##0.00</c:formatCode>
                <c:ptCount val="12"/>
                <c:pt idx="0">
                  <c:v>62086152.669999987</c:v>
                </c:pt>
                <c:pt idx="1">
                  <c:v>58841399.739999995</c:v>
                </c:pt>
                <c:pt idx="2">
                  <c:v>65378724.979999989</c:v>
                </c:pt>
                <c:pt idx="3">
                  <c:v>61940297.039999984</c:v>
                </c:pt>
                <c:pt idx="4">
                  <c:v>45724037.280000001</c:v>
                </c:pt>
                <c:pt idx="5">
                  <c:v>31590410.82</c:v>
                </c:pt>
                <c:pt idx="6">
                  <c:v>29950149.389999997</c:v>
                </c:pt>
                <c:pt idx="7">
                  <c:v>32514134.069999997</c:v>
                </c:pt>
                <c:pt idx="8">
                  <c:v>32396399.25</c:v>
                </c:pt>
                <c:pt idx="9">
                  <c:v>33448509.630000003</c:v>
                </c:pt>
                <c:pt idx="10">
                  <c:v>29712288.810000002</c:v>
                </c:pt>
                <c:pt idx="11">
                  <c:v>34201048.759999998</c:v>
                </c:pt>
              </c:numCache>
            </c:numRef>
          </c:val>
          <c:smooth val="0"/>
          <c:extLst>
            <c:ext xmlns:c16="http://schemas.microsoft.com/office/drawing/2014/chart" uri="{C3380CC4-5D6E-409C-BE32-E72D297353CC}">
              <c16:uniqueId val="{00000000-7DAC-4AE8-8997-E9C2AD728CD1}"/>
            </c:ext>
          </c:extLst>
        </c:ser>
        <c:dLbls>
          <c:showLegendKey val="0"/>
          <c:showVal val="0"/>
          <c:showCatName val="0"/>
          <c:showSerName val="0"/>
          <c:showPercent val="0"/>
          <c:showBubbleSize val="0"/>
        </c:dLbls>
        <c:smooth val="0"/>
        <c:axId val="1293616048"/>
        <c:axId val="1293617488"/>
      </c:lineChart>
      <c:catAx>
        <c:axId val="12936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17488"/>
        <c:crosses val="autoZero"/>
        <c:auto val="1"/>
        <c:lblAlgn val="ctr"/>
        <c:lblOffset val="100"/>
        <c:noMultiLvlLbl val="0"/>
      </c:catAx>
      <c:valAx>
        <c:axId val="12936174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1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Downtime % by plant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Downtime % by plant</a:t>
          </a:r>
        </a:p>
      </cx:txPr>
    </cx:title>
    <cx:plotArea>
      <cx:plotAreaRegion>
        <cx:series layoutId="funnel" uniqueId="{CC174142-C6F8-4834-A14D-F3D8F2E08B99}">
          <cx:spPr>
            <a:gradFill flip="none" rotWithShape="1">
              <a:gsLst>
                <a:gs pos="16000">
                  <a:schemeClr val="accent6">
                    <a:lumMod val="60000"/>
                    <a:lumOff val="40000"/>
                  </a:schemeClr>
                </a:gs>
                <a:gs pos="51000">
                  <a:schemeClr val="bg1"/>
                </a:gs>
                <a:gs pos="75000">
                  <a:srgbClr val="AAC11B"/>
                </a:gs>
                <a:gs pos="34000">
                  <a:srgbClr val="FFFF00"/>
                </a:gs>
                <a:gs pos="99000">
                  <a:schemeClr val="accent6">
                    <a:lumMod val="75000"/>
                  </a:schemeClr>
                </a:gs>
              </a:gsLst>
              <a:lin ang="0" scaled="1"/>
              <a:tileRect/>
            </a:gra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accent1">
        <a:lumMod val="5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Maintenance cost by Plant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Maintenance cost by Plant</a:t>
          </a:r>
        </a:p>
      </cx:txPr>
    </cx:title>
    <cx:plotArea>
      <cx:plotAreaRegion>
        <cx:series layoutId="waterfall" uniqueId="{00000000-89F6-40C3-9C3C-01F260BDFE14}">
          <cx:spPr>
            <a:gradFill>
              <a:gsLst>
                <a:gs pos="0">
                  <a:srgbClr val="00B050"/>
                </a:gs>
                <a:gs pos="51000">
                  <a:srgbClr val="FFFF00"/>
                </a:gs>
                <a:gs pos="90000">
                  <a:srgbClr val="00B0F0"/>
                </a:gs>
              </a:gsLst>
              <a:lin ang="0" scaled="1"/>
            </a:gradFill>
          </cx:spPr>
          <cx:dataLabels pos="outEnd">
            <cx:numFmt formatCode="#,##0" sourceLinked="0"/>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layoutPr>
            <cx:visibility connectorLines="1"/>
            <cx:subtotals/>
          </cx:layoutPr>
        </cx:series>
      </cx:plotAreaRegion>
      <cx:axis id="0">
        <cx:catScaling gapWidth="0.270000011"/>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numFmt formatCode="#"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accent1">
        <a:lumMod val="5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2.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0" Type="http://schemas.microsoft.com/office/2014/relationships/chartEx" Target="../charts/chartEx1.xml"/><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50800</xdr:rowOff>
    </xdr:from>
    <xdr:to>
      <xdr:col>1</xdr:col>
      <xdr:colOff>577850</xdr:colOff>
      <xdr:row>25</xdr:row>
      <xdr:rowOff>146050</xdr:rowOff>
    </xdr:to>
    <xdr:sp macro="" textlink="">
      <xdr:nvSpPr>
        <xdr:cNvPr id="2" name="Rectangle: Rounded Corners 1">
          <a:extLst>
            <a:ext uri="{FF2B5EF4-FFF2-40B4-BE49-F238E27FC236}">
              <a16:creationId xmlns:a16="http://schemas.microsoft.com/office/drawing/2014/main" id="{CBEEB97E-67E7-DDBE-3481-B6A128EDACD1}"/>
            </a:ext>
          </a:extLst>
        </xdr:cNvPr>
        <xdr:cNvSpPr/>
      </xdr:nvSpPr>
      <xdr:spPr>
        <a:xfrm>
          <a:off x="63500" y="50800"/>
          <a:ext cx="1123950" cy="4699000"/>
        </a:xfrm>
        <a:prstGeom prst="roundRect">
          <a:avLst>
            <a:gd name="adj" fmla="val 7326"/>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xdr:colOff>
      <xdr:row>0</xdr:row>
      <xdr:rowOff>88900</xdr:rowOff>
    </xdr:from>
    <xdr:to>
      <xdr:col>19</xdr:col>
      <xdr:colOff>234950</xdr:colOff>
      <xdr:row>3</xdr:row>
      <xdr:rowOff>82550</xdr:rowOff>
    </xdr:to>
    <xdr:sp macro="" textlink="">
      <xdr:nvSpPr>
        <xdr:cNvPr id="3" name="Rectangle: Rounded Corners 2">
          <a:extLst>
            <a:ext uri="{FF2B5EF4-FFF2-40B4-BE49-F238E27FC236}">
              <a16:creationId xmlns:a16="http://schemas.microsoft.com/office/drawing/2014/main" id="{C3D56FC4-6DB3-B46C-B6FA-E28A6840D0DA}"/>
            </a:ext>
          </a:extLst>
        </xdr:cNvPr>
        <xdr:cNvSpPr/>
      </xdr:nvSpPr>
      <xdr:spPr>
        <a:xfrm>
          <a:off x="1270000" y="88900"/>
          <a:ext cx="10547350" cy="546100"/>
        </a:xfrm>
        <a:prstGeom prst="roundRect">
          <a:avLst>
            <a:gd name="adj" fmla="val 1004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             PARA</a:t>
          </a:r>
          <a:r>
            <a:rPr lang="en-US" sz="2800" baseline="0"/>
            <a:t>S ENERGY OPERATION DASHBOARD</a:t>
          </a:r>
          <a:endParaRPr lang="en-US" sz="2800"/>
        </a:p>
      </xdr:txBody>
    </xdr:sp>
    <xdr:clientData/>
  </xdr:twoCellAnchor>
  <xdr:twoCellAnchor>
    <xdr:from>
      <xdr:col>2</xdr:col>
      <xdr:colOff>76200</xdr:colOff>
      <xdr:row>3</xdr:row>
      <xdr:rowOff>152400</xdr:rowOff>
    </xdr:from>
    <xdr:to>
      <xdr:col>4</xdr:col>
      <xdr:colOff>292100</xdr:colOff>
      <xdr:row>7</xdr:row>
      <xdr:rowOff>63500</xdr:rowOff>
    </xdr:to>
    <xdr:sp macro="" textlink="'pivot tables'!A16">
      <xdr:nvSpPr>
        <xdr:cNvPr id="4" name="Rectangle: Rounded Corners 3">
          <a:extLst>
            <a:ext uri="{FF2B5EF4-FFF2-40B4-BE49-F238E27FC236}">
              <a16:creationId xmlns:a16="http://schemas.microsoft.com/office/drawing/2014/main" id="{40E13C0E-5882-AF4A-0A7E-08D4CDEE341F}"/>
            </a:ext>
          </a:extLst>
        </xdr:cNvPr>
        <xdr:cNvSpPr/>
      </xdr:nvSpPr>
      <xdr:spPr>
        <a:xfrm>
          <a:off x="1295400" y="704850"/>
          <a:ext cx="1435100" cy="647700"/>
        </a:xfrm>
        <a:prstGeom prst="roundRect">
          <a:avLst>
            <a:gd name="adj" fmla="val 1004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336550</xdr:colOff>
      <xdr:row>3</xdr:row>
      <xdr:rowOff>158750</xdr:rowOff>
    </xdr:from>
    <xdr:to>
      <xdr:col>6</xdr:col>
      <xdr:colOff>552450</xdr:colOff>
      <xdr:row>7</xdr:row>
      <xdr:rowOff>69850</xdr:rowOff>
    </xdr:to>
    <xdr:sp macro="" textlink="">
      <xdr:nvSpPr>
        <xdr:cNvPr id="5" name="Rectangle: Rounded Corners 4">
          <a:extLst>
            <a:ext uri="{FF2B5EF4-FFF2-40B4-BE49-F238E27FC236}">
              <a16:creationId xmlns:a16="http://schemas.microsoft.com/office/drawing/2014/main" id="{C96CED2E-9955-7000-EC14-FE0F4E0DF7C5}"/>
            </a:ext>
          </a:extLst>
        </xdr:cNvPr>
        <xdr:cNvSpPr/>
      </xdr:nvSpPr>
      <xdr:spPr>
        <a:xfrm>
          <a:off x="2774950" y="711200"/>
          <a:ext cx="1435100" cy="647700"/>
        </a:xfrm>
        <a:prstGeom prst="roundRect">
          <a:avLst>
            <a:gd name="adj" fmla="val 1004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7</xdr:row>
      <xdr:rowOff>120650</xdr:rowOff>
    </xdr:from>
    <xdr:to>
      <xdr:col>4</xdr:col>
      <xdr:colOff>292100</xdr:colOff>
      <xdr:row>11</xdr:row>
      <xdr:rowOff>57150</xdr:rowOff>
    </xdr:to>
    <xdr:sp macro="" textlink="">
      <xdr:nvSpPr>
        <xdr:cNvPr id="6" name="Rectangle: Rounded Corners 5">
          <a:extLst>
            <a:ext uri="{FF2B5EF4-FFF2-40B4-BE49-F238E27FC236}">
              <a16:creationId xmlns:a16="http://schemas.microsoft.com/office/drawing/2014/main" id="{AB26F132-A869-59A9-CCF2-FCEEADCBC8F2}"/>
            </a:ext>
          </a:extLst>
        </xdr:cNvPr>
        <xdr:cNvSpPr/>
      </xdr:nvSpPr>
      <xdr:spPr>
        <a:xfrm>
          <a:off x="1295400" y="1409700"/>
          <a:ext cx="1435100" cy="673100"/>
        </a:xfrm>
        <a:prstGeom prst="roundRect">
          <a:avLst>
            <a:gd name="adj" fmla="val 1004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7</xdr:row>
      <xdr:rowOff>133350</xdr:rowOff>
    </xdr:from>
    <xdr:to>
      <xdr:col>6</xdr:col>
      <xdr:colOff>533400</xdr:colOff>
      <xdr:row>11</xdr:row>
      <xdr:rowOff>63500</xdr:rowOff>
    </xdr:to>
    <xdr:sp macro="" textlink="">
      <xdr:nvSpPr>
        <xdr:cNvPr id="7" name="Rectangle: Rounded Corners 6">
          <a:extLst>
            <a:ext uri="{FF2B5EF4-FFF2-40B4-BE49-F238E27FC236}">
              <a16:creationId xmlns:a16="http://schemas.microsoft.com/office/drawing/2014/main" id="{A63389E3-B3FC-9C56-2EDE-9547E45B65D8}"/>
            </a:ext>
          </a:extLst>
        </xdr:cNvPr>
        <xdr:cNvSpPr/>
      </xdr:nvSpPr>
      <xdr:spPr>
        <a:xfrm>
          <a:off x="2781300" y="1422400"/>
          <a:ext cx="1409700" cy="666750"/>
        </a:xfrm>
        <a:prstGeom prst="roundRect">
          <a:avLst>
            <a:gd name="adj" fmla="val 1004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11</xdr:row>
      <xdr:rowOff>114300</xdr:rowOff>
    </xdr:from>
    <xdr:to>
      <xdr:col>6</xdr:col>
      <xdr:colOff>527050</xdr:colOff>
      <xdr:row>25</xdr:row>
      <xdr:rowOff>152400</xdr:rowOff>
    </xdr:to>
    <xdr:sp macro="" textlink="">
      <xdr:nvSpPr>
        <xdr:cNvPr id="8" name="Rectangle: Rounded Corners 7">
          <a:extLst>
            <a:ext uri="{FF2B5EF4-FFF2-40B4-BE49-F238E27FC236}">
              <a16:creationId xmlns:a16="http://schemas.microsoft.com/office/drawing/2014/main" id="{3E7838F8-4F34-2A0E-AE2B-89B24925CBC5}"/>
            </a:ext>
          </a:extLst>
        </xdr:cNvPr>
        <xdr:cNvSpPr/>
      </xdr:nvSpPr>
      <xdr:spPr>
        <a:xfrm>
          <a:off x="1257300" y="2139950"/>
          <a:ext cx="2927350" cy="2616200"/>
        </a:xfrm>
        <a:prstGeom prst="roundRect">
          <a:avLst>
            <a:gd name="adj" fmla="val 424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590550</xdr:colOff>
      <xdr:row>3</xdr:row>
      <xdr:rowOff>114300</xdr:rowOff>
    </xdr:from>
    <xdr:to>
      <xdr:col>11</xdr:col>
      <xdr:colOff>0</xdr:colOff>
      <xdr:row>13</xdr:row>
      <xdr:rowOff>177800</xdr:rowOff>
    </xdr:to>
    <xdr:sp macro="" textlink="">
      <xdr:nvSpPr>
        <xdr:cNvPr id="10" name="Rectangle: Rounded Corners 9">
          <a:extLst>
            <a:ext uri="{FF2B5EF4-FFF2-40B4-BE49-F238E27FC236}">
              <a16:creationId xmlns:a16="http://schemas.microsoft.com/office/drawing/2014/main" id="{9A395A89-537B-CF3F-FF33-11F6F99EB5DD}"/>
            </a:ext>
          </a:extLst>
        </xdr:cNvPr>
        <xdr:cNvSpPr/>
      </xdr:nvSpPr>
      <xdr:spPr>
        <a:xfrm>
          <a:off x="4248150" y="666750"/>
          <a:ext cx="2457450" cy="1905000"/>
        </a:xfrm>
        <a:prstGeom prst="roundRect">
          <a:avLst>
            <a:gd name="adj" fmla="val 424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584200</xdr:colOff>
      <xdr:row>14</xdr:row>
      <xdr:rowOff>57150</xdr:rowOff>
    </xdr:from>
    <xdr:to>
      <xdr:col>11</xdr:col>
      <xdr:colOff>38100</xdr:colOff>
      <xdr:row>25</xdr:row>
      <xdr:rowOff>152400</xdr:rowOff>
    </xdr:to>
    <xdr:sp macro="" textlink="">
      <xdr:nvSpPr>
        <xdr:cNvPr id="11" name="Rectangle: Rounded Corners 10">
          <a:extLst>
            <a:ext uri="{FF2B5EF4-FFF2-40B4-BE49-F238E27FC236}">
              <a16:creationId xmlns:a16="http://schemas.microsoft.com/office/drawing/2014/main" id="{236832F3-A13F-F294-B42A-F955AB377BF8}"/>
            </a:ext>
          </a:extLst>
        </xdr:cNvPr>
        <xdr:cNvSpPr/>
      </xdr:nvSpPr>
      <xdr:spPr>
        <a:xfrm>
          <a:off x="4241800" y="2635250"/>
          <a:ext cx="2501900" cy="2120900"/>
        </a:xfrm>
        <a:prstGeom prst="roundRect">
          <a:avLst>
            <a:gd name="adj" fmla="val 424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44450</xdr:colOff>
      <xdr:row>3</xdr:row>
      <xdr:rowOff>146050</xdr:rowOff>
    </xdr:from>
    <xdr:to>
      <xdr:col>15</xdr:col>
      <xdr:colOff>101600</xdr:colOff>
      <xdr:row>14</xdr:row>
      <xdr:rowOff>6350</xdr:rowOff>
    </xdr:to>
    <xdr:sp macro="" textlink="">
      <xdr:nvSpPr>
        <xdr:cNvPr id="12" name="Rectangle: Rounded Corners 11">
          <a:extLst>
            <a:ext uri="{FF2B5EF4-FFF2-40B4-BE49-F238E27FC236}">
              <a16:creationId xmlns:a16="http://schemas.microsoft.com/office/drawing/2014/main" id="{8373B14C-4D1E-6035-E030-16A6C7C9C92C}"/>
            </a:ext>
          </a:extLst>
        </xdr:cNvPr>
        <xdr:cNvSpPr/>
      </xdr:nvSpPr>
      <xdr:spPr>
        <a:xfrm>
          <a:off x="6750050" y="698500"/>
          <a:ext cx="2495550" cy="1885950"/>
        </a:xfrm>
        <a:prstGeom prst="roundRect">
          <a:avLst>
            <a:gd name="adj" fmla="val 424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14</xdr:row>
      <xdr:rowOff>63500</xdr:rowOff>
    </xdr:from>
    <xdr:to>
      <xdr:col>15</xdr:col>
      <xdr:colOff>152400</xdr:colOff>
      <xdr:row>25</xdr:row>
      <xdr:rowOff>139700</xdr:rowOff>
    </xdr:to>
    <xdr:sp macro="" textlink="">
      <xdr:nvSpPr>
        <xdr:cNvPr id="13" name="Rectangle: Rounded Corners 12">
          <a:extLst>
            <a:ext uri="{FF2B5EF4-FFF2-40B4-BE49-F238E27FC236}">
              <a16:creationId xmlns:a16="http://schemas.microsoft.com/office/drawing/2014/main" id="{EAF48316-1A18-E7A8-F534-BD9CE8193BB5}"/>
            </a:ext>
          </a:extLst>
        </xdr:cNvPr>
        <xdr:cNvSpPr/>
      </xdr:nvSpPr>
      <xdr:spPr>
        <a:xfrm>
          <a:off x="6800850" y="2641600"/>
          <a:ext cx="2495550" cy="2101850"/>
        </a:xfrm>
        <a:prstGeom prst="roundRect">
          <a:avLst>
            <a:gd name="adj" fmla="val 424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146050</xdr:colOff>
      <xdr:row>3</xdr:row>
      <xdr:rowOff>146050</xdr:rowOff>
    </xdr:from>
    <xdr:to>
      <xdr:col>19</xdr:col>
      <xdr:colOff>203200</xdr:colOff>
      <xdr:row>14</xdr:row>
      <xdr:rowOff>6350</xdr:rowOff>
    </xdr:to>
    <xdr:sp macro="" textlink="">
      <xdr:nvSpPr>
        <xdr:cNvPr id="14" name="Rectangle: Rounded Corners 13">
          <a:extLst>
            <a:ext uri="{FF2B5EF4-FFF2-40B4-BE49-F238E27FC236}">
              <a16:creationId xmlns:a16="http://schemas.microsoft.com/office/drawing/2014/main" id="{A4730A94-5118-5484-977E-0BC5212167DC}"/>
            </a:ext>
          </a:extLst>
        </xdr:cNvPr>
        <xdr:cNvSpPr/>
      </xdr:nvSpPr>
      <xdr:spPr>
        <a:xfrm>
          <a:off x="9290050" y="698500"/>
          <a:ext cx="2495550" cy="1885950"/>
        </a:xfrm>
        <a:prstGeom prst="roundRect">
          <a:avLst>
            <a:gd name="adj" fmla="val 424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203200</xdr:colOff>
      <xdr:row>14</xdr:row>
      <xdr:rowOff>57150</xdr:rowOff>
    </xdr:from>
    <xdr:to>
      <xdr:col>19</xdr:col>
      <xdr:colOff>228600</xdr:colOff>
      <xdr:row>25</xdr:row>
      <xdr:rowOff>114300</xdr:rowOff>
    </xdr:to>
    <xdr:sp macro="" textlink="">
      <xdr:nvSpPr>
        <xdr:cNvPr id="16" name="Rectangle: Rounded Corners 15">
          <a:extLst>
            <a:ext uri="{FF2B5EF4-FFF2-40B4-BE49-F238E27FC236}">
              <a16:creationId xmlns:a16="http://schemas.microsoft.com/office/drawing/2014/main" id="{3162F9DF-0932-3260-FEE4-8B4A3561D863}"/>
            </a:ext>
          </a:extLst>
        </xdr:cNvPr>
        <xdr:cNvSpPr/>
      </xdr:nvSpPr>
      <xdr:spPr>
        <a:xfrm>
          <a:off x="9347200" y="2635250"/>
          <a:ext cx="2463800" cy="2082800"/>
        </a:xfrm>
        <a:prstGeom prst="roundRect">
          <a:avLst>
            <a:gd name="adj" fmla="val 424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450850</xdr:colOff>
      <xdr:row>4</xdr:row>
      <xdr:rowOff>63500</xdr:rowOff>
    </xdr:from>
    <xdr:ext cx="1150956" cy="264560"/>
    <xdr:sp macro="" textlink="">
      <xdr:nvSpPr>
        <xdr:cNvPr id="17" name="TextBox 16">
          <a:extLst>
            <a:ext uri="{FF2B5EF4-FFF2-40B4-BE49-F238E27FC236}">
              <a16:creationId xmlns:a16="http://schemas.microsoft.com/office/drawing/2014/main" id="{87C8A45E-98D8-434A-9C22-EE2670936D05}"/>
            </a:ext>
          </a:extLst>
        </xdr:cNvPr>
        <xdr:cNvSpPr txBox="1"/>
      </xdr:nvSpPr>
      <xdr:spPr>
        <a:xfrm>
          <a:off x="1670050" y="80010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REVENUE</a:t>
          </a:r>
        </a:p>
      </xdr:txBody>
    </xdr:sp>
    <xdr:clientData/>
  </xdr:oneCellAnchor>
  <xdr:oneCellAnchor>
    <xdr:from>
      <xdr:col>5</xdr:col>
      <xdr:colOff>273050</xdr:colOff>
      <xdr:row>4</xdr:row>
      <xdr:rowOff>19050</xdr:rowOff>
    </xdr:from>
    <xdr:ext cx="817083" cy="311496"/>
    <xdr:sp macro="" textlink="">
      <xdr:nvSpPr>
        <xdr:cNvPr id="18" name="TextBox 17">
          <a:extLst>
            <a:ext uri="{FF2B5EF4-FFF2-40B4-BE49-F238E27FC236}">
              <a16:creationId xmlns:a16="http://schemas.microsoft.com/office/drawing/2014/main" id="{E0723E0E-EE22-676C-3702-02EAD09FF167}"/>
            </a:ext>
          </a:extLst>
        </xdr:cNvPr>
        <xdr:cNvSpPr txBox="1"/>
      </xdr:nvSpPr>
      <xdr:spPr>
        <a:xfrm>
          <a:off x="3321050" y="755650"/>
          <a:ext cx="8170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FUEL</a:t>
          </a:r>
          <a:r>
            <a:rPr lang="en-US" sz="1400" b="1" baseline="0">
              <a:solidFill>
                <a:schemeClr val="bg1"/>
              </a:solidFill>
            </a:rPr>
            <a:t> </a:t>
          </a:r>
          <a:r>
            <a:rPr lang="en-US" sz="1100" b="1" baseline="0">
              <a:solidFill>
                <a:schemeClr val="bg1"/>
              </a:solidFill>
            </a:rPr>
            <a:t>COST</a:t>
          </a:r>
          <a:endParaRPr lang="en-US" sz="1100" b="1">
            <a:solidFill>
              <a:schemeClr val="bg1"/>
            </a:solidFill>
          </a:endParaRPr>
        </a:p>
      </xdr:txBody>
    </xdr:sp>
    <xdr:clientData/>
  </xdr:oneCellAnchor>
  <xdr:oneCellAnchor>
    <xdr:from>
      <xdr:col>2</xdr:col>
      <xdr:colOff>298450</xdr:colOff>
      <xdr:row>7</xdr:row>
      <xdr:rowOff>139700</xdr:rowOff>
    </xdr:from>
    <xdr:ext cx="1311578" cy="264560"/>
    <xdr:sp macro="" textlink="">
      <xdr:nvSpPr>
        <xdr:cNvPr id="19" name="TextBox 18">
          <a:extLst>
            <a:ext uri="{FF2B5EF4-FFF2-40B4-BE49-F238E27FC236}">
              <a16:creationId xmlns:a16="http://schemas.microsoft.com/office/drawing/2014/main" id="{6870B864-9618-E12C-8C47-419660B3BB9E}"/>
            </a:ext>
          </a:extLst>
        </xdr:cNvPr>
        <xdr:cNvSpPr txBox="1"/>
      </xdr:nvSpPr>
      <xdr:spPr>
        <a:xfrm>
          <a:off x="1517650" y="1428750"/>
          <a:ext cx="13115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MAINTENANCE</a:t>
          </a:r>
          <a:r>
            <a:rPr lang="en-US" sz="1100" b="1" baseline="0">
              <a:solidFill>
                <a:schemeClr val="bg1"/>
              </a:solidFill>
            </a:rPr>
            <a:t> FEE</a:t>
          </a:r>
          <a:endParaRPr lang="en-US" sz="1100" b="1">
            <a:solidFill>
              <a:schemeClr val="bg1"/>
            </a:solidFill>
          </a:endParaRPr>
        </a:p>
      </xdr:txBody>
    </xdr:sp>
    <xdr:clientData/>
  </xdr:oneCellAnchor>
  <xdr:oneCellAnchor>
    <xdr:from>
      <xdr:col>4</xdr:col>
      <xdr:colOff>368300</xdr:colOff>
      <xdr:row>7</xdr:row>
      <xdr:rowOff>139700</xdr:rowOff>
    </xdr:from>
    <xdr:ext cx="1425198" cy="264560"/>
    <xdr:sp macro="" textlink="">
      <xdr:nvSpPr>
        <xdr:cNvPr id="20" name="TextBox 19">
          <a:extLst>
            <a:ext uri="{FF2B5EF4-FFF2-40B4-BE49-F238E27FC236}">
              <a16:creationId xmlns:a16="http://schemas.microsoft.com/office/drawing/2014/main" id="{C933451E-F6E3-2533-D7C4-3660D641481B}"/>
            </a:ext>
          </a:extLst>
        </xdr:cNvPr>
        <xdr:cNvSpPr txBox="1"/>
      </xdr:nvSpPr>
      <xdr:spPr>
        <a:xfrm>
          <a:off x="2806700" y="1428750"/>
          <a:ext cx="14251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OPERATION</a:t>
          </a:r>
          <a:r>
            <a:rPr lang="en-US" sz="1100" b="1" baseline="0">
              <a:solidFill>
                <a:schemeClr val="bg1"/>
              </a:solidFill>
            </a:rPr>
            <a:t> MARGIN</a:t>
          </a:r>
          <a:endParaRPr lang="en-US" sz="1100" b="1">
            <a:solidFill>
              <a:schemeClr val="bg1"/>
            </a:solidFill>
          </a:endParaRPr>
        </a:p>
      </xdr:txBody>
    </xdr:sp>
    <xdr:clientData/>
  </xdr:oneCellAnchor>
  <xdr:oneCellAnchor>
    <xdr:from>
      <xdr:col>2</xdr:col>
      <xdr:colOff>463550</xdr:colOff>
      <xdr:row>5</xdr:row>
      <xdr:rowOff>127000</xdr:rowOff>
    </xdr:from>
    <xdr:ext cx="1110817" cy="280205"/>
    <xdr:sp macro="" textlink="'pivot tables'!A16">
      <xdr:nvSpPr>
        <xdr:cNvPr id="21" name="TextBox 20">
          <a:extLst>
            <a:ext uri="{FF2B5EF4-FFF2-40B4-BE49-F238E27FC236}">
              <a16:creationId xmlns:a16="http://schemas.microsoft.com/office/drawing/2014/main" id="{37FAB348-4178-6F6A-9A80-224E70C98966}"/>
            </a:ext>
          </a:extLst>
        </xdr:cNvPr>
        <xdr:cNvSpPr txBox="1"/>
      </xdr:nvSpPr>
      <xdr:spPr>
        <a:xfrm>
          <a:off x="1682750" y="1047750"/>
          <a:ext cx="111081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659BC70-D3ED-48A3-A041-F6919CF661CB}" type="TxLink">
            <a:rPr lang="en-US" sz="1200" b="0" i="0" u="none" strike="noStrike">
              <a:solidFill>
                <a:schemeClr val="bg1"/>
              </a:solidFill>
              <a:latin typeface="Calibri"/>
              <a:ea typeface="Calibri"/>
              <a:cs typeface="Calibri"/>
            </a:rPr>
            <a:t> $61,940,297 </a:t>
          </a:fld>
          <a:endParaRPr lang="en-US" sz="1200">
            <a:solidFill>
              <a:schemeClr val="bg1"/>
            </a:solidFill>
          </a:endParaRPr>
        </a:p>
      </xdr:txBody>
    </xdr:sp>
    <xdr:clientData/>
  </xdr:oneCellAnchor>
  <xdr:twoCellAnchor>
    <xdr:from>
      <xdr:col>2</xdr:col>
      <xdr:colOff>146050</xdr:colOff>
      <xdr:row>12</xdr:row>
      <xdr:rowOff>63500</xdr:rowOff>
    </xdr:from>
    <xdr:to>
      <xdr:col>6</xdr:col>
      <xdr:colOff>444500</xdr:colOff>
      <xdr:row>25</xdr:row>
      <xdr:rowOff>69850</xdr:rowOff>
    </xdr:to>
    <xdr:graphicFrame macro="">
      <xdr:nvGraphicFramePr>
        <xdr:cNvPr id="22" name="Chart 21">
          <a:extLst>
            <a:ext uri="{FF2B5EF4-FFF2-40B4-BE49-F238E27FC236}">
              <a16:creationId xmlns:a16="http://schemas.microsoft.com/office/drawing/2014/main" id="{A418EF32-E453-4822-B507-CEC20089D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146050</xdr:colOff>
      <xdr:row>5</xdr:row>
      <xdr:rowOff>127000</xdr:rowOff>
    </xdr:from>
    <xdr:ext cx="1033745" cy="264560"/>
    <xdr:sp macro="" textlink="'pivot tables'!A17">
      <xdr:nvSpPr>
        <xdr:cNvPr id="23" name="TextBox 22">
          <a:extLst>
            <a:ext uri="{FF2B5EF4-FFF2-40B4-BE49-F238E27FC236}">
              <a16:creationId xmlns:a16="http://schemas.microsoft.com/office/drawing/2014/main" id="{082C3522-F730-A271-48CE-5AA1BE4C69A4}"/>
            </a:ext>
          </a:extLst>
        </xdr:cNvPr>
        <xdr:cNvSpPr txBox="1"/>
      </xdr:nvSpPr>
      <xdr:spPr>
        <a:xfrm>
          <a:off x="3194050" y="1047750"/>
          <a:ext cx="10337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E4BD9E0-7850-427C-857A-BBB0D6DD90A6}" type="TxLink">
            <a:rPr lang="en-US" sz="1100" b="0" i="0" u="none" strike="noStrike">
              <a:solidFill>
                <a:schemeClr val="bg1"/>
              </a:solidFill>
              <a:latin typeface="Calibri"/>
              <a:ea typeface="Calibri"/>
              <a:cs typeface="Calibri"/>
            </a:rPr>
            <a:t> $26,015,546 </a:t>
          </a:fld>
          <a:endParaRPr lang="en-US" sz="1200">
            <a:solidFill>
              <a:schemeClr val="bg1"/>
            </a:solidFill>
          </a:endParaRPr>
        </a:p>
      </xdr:txBody>
    </xdr:sp>
    <xdr:clientData/>
  </xdr:oneCellAnchor>
  <xdr:oneCellAnchor>
    <xdr:from>
      <xdr:col>2</xdr:col>
      <xdr:colOff>438150</xdr:colOff>
      <xdr:row>9</xdr:row>
      <xdr:rowOff>19050</xdr:rowOff>
    </xdr:from>
    <xdr:ext cx="1032847" cy="280205"/>
    <xdr:sp macro="" textlink="'pivot tables'!A18">
      <xdr:nvSpPr>
        <xdr:cNvPr id="25" name="TextBox 24">
          <a:extLst>
            <a:ext uri="{FF2B5EF4-FFF2-40B4-BE49-F238E27FC236}">
              <a16:creationId xmlns:a16="http://schemas.microsoft.com/office/drawing/2014/main" id="{53D28985-6D36-3E2B-CEEC-841A545F2327}"/>
            </a:ext>
          </a:extLst>
        </xdr:cNvPr>
        <xdr:cNvSpPr txBox="1"/>
      </xdr:nvSpPr>
      <xdr:spPr>
        <a:xfrm>
          <a:off x="1657350" y="1676400"/>
          <a:ext cx="10328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B428900-811E-40B5-B173-24ACF82857B1}" type="TxLink">
            <a:rPr lang="en-US" sz="1200" b="0" i="0" u="none" strike="noStrike">
              <a:solidFill>
                <a:schemeClr val="bg1"/>
              </a:solidFill>
              <a:latin typeface="Calibri"/>
              <a:ea typeface="Calibri"/>
              <a:cs typeface="Calibri"/>
            </a:rPr>
            <a:t> $10,486,256 </a:t>
          </a:fld>
          <a:endParaRPr lang="en-US" sz="1200">
            <a:solidFill>
              <a:schemeClr val="bg1"/>
            </a:solidFill>
          </a:endParaRPr>
        </a:p>
      </xdr:txBody>
    </xdr:sp>
    <xdr:clientData/>
  </xdr:oneCellAnchor>
  <xdr:twoCellAnchor editAs="oneCell">
    <xdr:from>
      <xdr:col>0</xdr:col>
      <xdr:colOff>122194</xdr:colOff>
      <xdr:row>0</xdr:row>
      <xdr:rowOff>139700</xdr:rowOff>
    </xdr:from>
    <xdr:to>
      <xdr:col>1</xdr:col>
      <xdr:colOff>520699</xdr:colOff>
      <xdr:row>3</xdr:row>
      <xdr:rowOff>152400</xdr:rowOff>
    </xdr:to>
    <xdr:pic>
      <xdr:nvPicPr>
        <xdr:cNvPr id="26" name="Picture 25">
          <a:extLst>
            <a:ext uri="{FF2B5EF4-FFF2-40B4-BE49-F238E27FC236}">
              <a16:creationId xmlns:a16="http://schemas.microsoft.com/office/drawing/2014/main" id="{83400846-8E83-F101-0214-6F730B3A89E3}"/>
            </a:ext>
          </a:extLst>
        </xdr:cNvPr>
        <xdr:cNvPicPr>
          <a:picLocks noChangeAspect="1"/>
        </xdr:cNvPicPr>
      </xdr:nvPicPr>
      <xdr:blipFill>
        <a:blip xmlns:r="http://schemas.openxmlformats.org/officeDocument/2006/relationships" r:embed="rId2"/>
        <a:stretch>
          <a:fillRect/>
        </a:stretch>
      </xdr:blipFill>
      <xdr:spPr>
        <a:xfrm>
          <a:off x="122194" y="139700"/>
          <a:ext cx="1008105" cy="565150"/>
        </a:xfrm>
        <a:prstGeom prst="rect">
          <a:avLst/>
        </a:prstGeom>
      </xdr:spPr>
    </xdr:pic>
    <xdr:clientData/>
  </xdr:twoCellAnchor>
  <xdr:twoCellAnchor editAs="oneCell">
    <xdr:from>
      <xdr:col>2</xdr:col>
      <xdr:colOff>95250</xdr:colOff>
      <xdr:row>4</xdr:row>
      <xdr:rowOff>95250</xdr:rowOff>
    </xdr:from>
    <xdr:to>
      <xdr:col>2</xdr:col>
      <xdr:colOff>520700</xdr:colOff>
      <xdr:row>6</xdr:row>
      <xdr:rowOff>152400</xdr:rowOff>
    </xdr:to>
    <xdr:pic>
      <xdr:nvPicPr>
        <xdr:cNvPr id="27" name="Picture 26">
          <a:extLst>
            <a:ext uri="{FF2B5EF4-FFF2-40B4-BE49-F238E27FC236}">
              <a16:creationId xmlns:a16="http://schemas.microsoft.com/office/drawing/2014/main" id="{DA95524B-B531-C202-BCB7-864334337C75}"/>
            </a:ext>
          </a:extLst>
        </xdr:cNvPr>
        <xdr:cNvPicPr>
          <a:picLocks noChangeAspect="1"/>
        </xdr:cNvPicPr>
      </xdr:nvPicPr>
      <xdr:blipFill>
        <a:blip xmlns:r="http://schemas.openxmlformats.org/officeDocument/2006/relationships" r:embed="rId3">
          <a:duotone>
            <a:schemeClr val="accent2">
              <a:shade val="45000"/>
              <a:satMod val="135000"/>
            </a:schemeClr>
            <a:prstClr val="white"/>
          </a:duotone>
        </a:blip>
        <a:stretch>
          <a:fillRect/>
        </a:stretch>
      </xdr:blipFill>
      <xdr:spPr>
        <a:xfrm>
          <a:off x="1314450" y="831850"/>
          <a:ext cx="425450" cy="425450"/>
        </a:xfrm>
        <a:prstGeom prst="rect">
          <a:avLst/>
        </a:prstGeom>
      </xdr:spPr>
    </xdr:pic>
    <xdr:clientData/>
  </xdr:twoCellAnchor>
  <xdr:twoCellAnchor editAs="oneCell">
    <xdr:from>
      <xdr:col>4</xdr:col>
      <xdr:colOff>368300</xdr:colOff>
      <xdr:row>4</xdr:row>
      <xdr:rowOff>50800</xdr:rowOff>
    </xdr:from>
    <xdr:to>
      <xdr:col>5</xdr:col>
      <xdr:colOff>254000</xdr:colOff>
      <xdr:row>6</xdr:row>
      <xdr:rowOff>177800</xdr:rowOff>
    </xdr:to>
    <xdr:pic>
      <xdr:nvPicPr>
        <xdr:cNvPr id="28" name="Picture 27">
          <a:extLst>
            <a:ext uri="{FF2B5EF4-FFF2-40B4-BE49-F238E27FC236}">
              <a16:creationId xmlns:a16="http://schemas.microsoft.com/office/drawing/2014/main" id="{C765F39F-24C1-8AAC-9725-0F68DB32129C}"/>
            </a:ext>
          </a:extLst>
        </xdr:cNvPr>
        <xdr:cNvPicPr>
          <a:picLocks noChangeAspect="1"/>
        </xdr:cNvPicPr>
      </xdr:nvPicPr>
      <xdr:blipFill>
        <a:blip xmlns:r="http://schemas.openxmlformats.org/officeDocument/2006/relationships" r:embed="rId4"/>
        <a:stretch>
          <a:fillRect/>
        </a:stretch>
      </xdr:blipFill>
      <xdr:spPr>
        <a:xfrm>
          <a:off x="2806700" y="787400"/>
          <a:ext cx="495300" cy="495300"/>
        </a:xfrm>
        <a:prstGeom prst="rect">
          <a:avLst/>
        </a:prstGeom>
      </xdr:spPr>
    </xdr:pic>
    <xdr:clientData/>
  </xdr:twoCellAnchor>
  <xdr:twoCellAnchor editAs="oneCell">
    <xdr:from>
      <xdr:col>2</xdr:col>
      <xdr:colOff>114300</xdr:colOff>
      <xdr:row>8</xdr:row>
      <xdr:rowOff>165100</xdr:rowOff>
    </xdr:from>
    <xdr:to>
      <xdr:col>2</xdr:col>
      <xdr:colOff>482600</xdr:colOff>
      <xdr:row>10</xdr:row>
      <xdr:rowOff>165100</xdr:rowOff>
    </xdr:to>
    <xdr:pic>
      <xdr:nvPicPr>
        <xdr:cNvPr id="29" name="Picture 28">
          <a:extLst>
            <a:ext uri="{FF2B5EF4-FFF2-40B4-BE49-F238E27FC236}">
              <a16:creationId xmlns:a16="http://schemas.microsoft.com/office/drawing/2014/main" id="{A918270B-A795-A5D8-C42F-328F6EE76B6D}"/>
            </a:ext>
          </a:extLst>
        </xdr:cNvPr>
        <xdr:cNvPicPr>
          <a:picLocks noChangeAspect="1"/>
        </xdr:cNvPicPr>
      </xdr:nvPicPr>
      <xdr:blipFill>
        <a:blip xmlns:r="http://schemas.openxmlformats.org/officeDocument/2006/relationships" r:embed="rId5"/>
        <a:stretch>
          <a:fillRect/>
        </a:stretch>
      </xdr:blipFill>
      <xdr:spPr>
        <a:xfrm>
          <a:off x="1333500" y="1638300"/>
          <a:ext cx="368300" cy="368300"/>
        </a:xfrm>
        <a:prstGeom prst="rect">
          <a:avLst/>
        </a:prstGeom>
      </xdr:spPr>
    </xdr:pic>
    <xdr:clientData/>
  </xdr:twoCellAnchor>
  <xdr:twoCellAnchor editAs="oneCell">
    <xdr:from>
      <xdr:col>4</xdr:col>
      <xdr:colOff>323850</xdr:colOff>
      <xdr:row>8</xdr:row>
      <xdr:rowOff>69850</xdr:rowOff>
    </xdr:from>
    <xdr:to>
      <xdr:col>5</xdr:col>
      <xdr:colOff>311150</xdr:colOff>
      <xdr:row>11</xdr:row>
      <xdr:rowOff>114300</xdr:rowOff>
    </xdr:to>
    <xdr:pic>
      <xdr:nvPicPr>
        <xdr:cNvPr id="30" name="Picture 29">
          <a:extLst>
            <a:ext uri="{FF2B5EF4-FFF2-40B4-BE49-F238E27FC236}">
              <a16:creationId xmlns:a16="http://schemas.microsoft.com/office/drawing/2014/main" id="{AA92AD9E-D4A3-EBF1-63B2-1D208CB2554F}"/>
            </a:ext>
          </a:extLst>
        </xdr:cNvPr>
        <xdr:cNvPicPr>
          <a:picLocks noChangeAspect="1"/>
        </xdr:cNvPicPr>
      </xdr:nvPicPr>
      <xdr:blipFill>
        <a:blip xmlns:r="http://schemas.openxmlformats.org/officeDocument/2006/relationships" r:embed="rId6">
          <a:lum bright="70000" contrast="-70000"/>
        </a:blip>
        <a:stretch>
          <a:fillRect/>
        </a:stretch>
      </xdr:blipFill>
      <xdr:spPr>
        <a:xfrm>
          <a:off x="2762250" y="1543050"/>
          <a:ext cx="596900" cy="596900"/>
        </a:xfrm>
        <a:prstGeom prst="rect">
          <a:avLst/>
        </a:prstGeom>
      </xdr:spPr>
    </xdr:pic>
    <xdr:clientData/>
  </xdr:twoCellAnchor>
  <xdr:twoCellAnchor editAs="oneCell">
    <xdr:from>
      <xdr:col>14</xdr:col>
      <xdr:colOff>488950</xdr:colOff>
      <xdr:row>0</xdr:row>
      <xdr:rowOff>0</xdr:rowOff>
    </xdr:from>
    <xdr:to>
      <xdr:col>15</xdr:col>
      <xdr:colOff>546100</xdr:colOff>
      <xdr:row>3</xdr:row>
      <xdr:rowOff>114300</xdr:rowOff>
    </xdr:to>
    <xdr:pic>
      <xdr:nvPicPr>
        <xdr:cNvPr id="31" name="Picture 30">
          <a:extLst>
            <a:ext uri="{FF2B5EF4-FFF2-40B4-BE49-F238E27FC236}">
              <a16:creationId xmlns:a16="http://schemas.microsoft.com/office/drawing/2014/main" id="{8408D75B-B6D6-74A6-00C3-1EB05177235A}"/>
            </a:ext>
          </a:extLst>
        </xdr:cNvPr>
        <xdr:cNvPicPr>
          <a:picLocks noChangeAspect="1"/>
        </xdr:cNvPicPr>
      </xdr:nvPicPr>
      <xdr:blipFill>
        <a:blip xmlns:r="http://schemas.openxmlformats.org/officeDocument/2006/relationships" r:embed="rId7">
          <a:lum bright="70000" contrast="-70000"/>
        </a:blip>
        <a:stretch>
          <a:fillRect/>
        </a:stretch>
      </xdr:blipFill>
      <xdr:spPr>
        <a:xfrm>
          <a:off x="9023350" y="0"/>
          <a:ext cx="666750" cy="666750"/>
        </a:xfrm>
        <a:prstGeom prst="rect">
          <a:avLst/>
        </a:prstGeom>
      </xdr:spPr>
    </xdr:pic>
    <xdr:clientData/>
  </xdr:twoCellAnchor>
  <xdr:oneCellAnchor>
    <xdr:from>
      <xdr:col>5</xdr:col>
      <xdr:colOff>368300</xdr:colOff>
      <xdr:row>9</xdr:row>
      <xdr:rowOff>57150</xdr:rowOff>
    </xdr:from>
    <xdr:ext cx="535596" cy="264560"/>
    <xdr:sp macro="" textlink="Analysis!B9">
      <xdr:nvSpPr>
        <xdr:cNvPr id="32" name="TextBox 31">
          <a:extLst>
            <a:ext uri="{FF2B5EF4-FFF2-40B4-BE49-F238E27FC236}">
              <a16:creationId xmlns:a16="http://schemas.microsoft.com/office/drawing/2014/main" id="{D98639EC-492B-C1D6-89F5-CB7E42C771A1}"/>
            </a:ext>
          </a:extLst>
        </xdr:cNvPr>
        <xdr:cNvSpPr txBox="1"/>
      </xdr:nvSpPr>
      <xdr:spPr>
        <a:xfrm>
          <a:off x="3416300" y="1714500"/>
          <a:ext cx="53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E341E7-8BAC-4700-919E-EC077022D7C4}" type="TxLink">
            <a:rPr lang="en-US" sz="1100" b="0" i="0" u="none" strike="noStrike">
              <a:solidFill>
                <a:schemeClr val="bg1"/>
              </a:solidFill>
              <a:latin typeface="Calibri"/>
              <a:ea typeface="Calibri"/>
              <a:cs typeface="Calibri"/>
            </a:rPr>
            <a:t>41.0%</a:t>
          </a:fld>
          <a:endParaRPr lang="en-US" sz="1200">
            <a:solidFill>
              <a:schemeClr val="bg1"/>
            </a:solidFill>
          </a:endParaRPr>
        </a:p>
      </xdr:txBody>
    </xdr:sp>
    <xdr:clientData/>
  </xdr:oneCellAnchor>
  <xdr:twoCellAnchor>
    <xdr:from>
      <xdr:col>7</xdr:col>
      <xdr:colOff>19050</xdr:colOff>
      <xdr:row>3</xdr:row>
      <xdr:rowOff>114300</xdr:rowOff>
    </xdr:from>
    <xdr:to>
      <xdr:col>10</xdr:col>
      <xdr:colOff>577850</xdr:colOff>
      <xdr:row>13</xdr:row>
      <xdr:rowOff>146050</xdr:rowOff>
    </xdr:to>
    <xdr:graphicFrame macro="">
      <xdr:nvGraphicFramePr>
        <xdr:cNvPr id="33" name="Chart 32">
          <a:extLst>
            <a:ext uri="{FF2B5EF4-FFF2-40B4-BE49-F238E27FC236}">
              <a16:creationId xmlns:a16="http://schemas.microsoft.com/office/drawing/2014/main" id="{C6CB605E-6962-460C-99CA-8852C0DAB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19050</xdr:colOff>
      <xdr:row>14</xdr:row>
      <xdr:rowOff>120650</xdr:rowOff>
    </xdr:from>
    <xdr:to>
      <xdr:col>10</xdr:col>
      <xdr:colOff>577850</xdr:colOff>
      <xdr:row>25</xdr:row>
      <xdr:rowOff>107950</xdr:rowOff>
    </xdr:to>
    <xdr:graphicFrame macro="">
      <xdr:nvGraphicFramePr>
        <xdr:cNvPr id="34" name="Chart 33">
          <a:extLst>
            <a:ext uri="{FF2B5EF4-FFF2-40B4-BE49-F238E27FC236}">
              <a16:creationId xmlns:a16="http://schemas.microsoft.com/office/drawing/2014/main" id="{3FD8153A-7B48-4FA2-AFE3-68BE54F5A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82550</xdr:colOff>
      <xdr:row>3</xdr:row>
      <xdr:rowOff>177800</xdr:rowOff>
    </xdr:from>
    <xdr:to>
      <xdr:col>15</xdr:col>
      <xdr:colOff>38100</xdr:colOff>
      <xdr:row>13</xdr:row>
      <xdr:rowOff>152400</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E3AE6FD8-22E7-4318-92F9-1FDBF4B2C2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788150" y="730250"/>
              <a:ext cx="2393950" cy="1816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120650</xdr:colOff>
      <xdr:row>14</xdr:row>
      <xdr:rowOff>133350</xdr:rowOff>
    </xdr:from>
    <xdr:to>
      <xdr:col>15</xdr:col>
      <xdr:colOff>57150</xdr:colOff>
      <xdr:row>25</xdr:row>
      <xdr:rowOff>31750</xdr:rowOff>
    </xdr:to>
    <xdr:graphicFrame macro="">
      <xdr:nvGraphicFramePr>
        <xdr:cNvPr id="36" name="Chart 35">
          <a:extLst>
            <a:ext uri="{FF2B5EF4-FFF2-40B4-BE49-F238E27FC236}">
              <a16:creationId xmlns:a16="http://schemas.microsoft.com/office/drawing/2014/main" id="{B9334C4E-2D9C-403B-B258-269500E7E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273050</xdr:colOff>
      <xdr:row>14</xdr:row>
      <xdr:rowOff>120650</xdr:rowOff>
    </xdr:from>
    <xdr:to>
      <xdr:col>19</xdr:col>
      <xdr:colOff>171450</xdr:colOff>
      <xdr:row>25</xdr:row>
      <xdr:rowOff>107950</xdr:rowOff>
    </xdr:to>
    <xdr:graphicFrame macro="">
      <xdr:nvGraphicFramePr>
        <xdr:cNvPr id="37" name="Chart 36">
          <a:extLst>
            <a:ext uri="{FF2B5EF4-FFF2-40B4-BE49-F238E27FC236}">
              <a16:creationId xmlns:a16="http://schemas.microsoft.com/office/drawing/2014/main" id="{4028125F-D53E-4783-B269-465A8691A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184150</xdr:colOff>
      <xdr:row>3</xdr:row>
      <xdr:rowOff>171450</xdr:rowOff>
    </xdr:from>
    <xdr:to>
      <xdr:col>19</xdr:col>
      <xdr:colOff>139700</xdr:colOff>
      <xdr:row>13</xdr:row>
      <xdr:rowOff>139700</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55452BB2-486C-4E2D-9A8A-AFD4F6FF1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328150" y="723900"/>
              <a:ext cx="2393950" cy="1809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107950</xdr:colOff>
      <xdr:row>3</xdr:row>
      <xdr:rowOff>177801</xdr:rowOff>
    </xdr:from>
    <xdr:to>
      <xdr:col>1</xdr:col>
      <xdr:colOff>501650</xdr:colOff>
      <xdr:row>12</xdr:row>
      <xdr:rowOff>1</xdr:rowOff>
    </xdr:to>
    <mc:AlternateContent xmlns:mc="http://schemas.openxmlformats.org/markup-compatibility/2006">
      <mc:Choice xmlns:a14="http://schemas.microsoft.com/office/drawing/2010/main" Requires="a14">
        <xdr:graphicFrame macro="">
          <xdr:nvGraphicFramePr>
            <xdr:cNvPr id="53" name="Plant">
              <a:extLst>
                <a:ext uri="{FF2B5EF4-FFF2-40B4-BE49-F238E27FC236}">
                  <a16:creationId xmlns:a16="http://schemas.microsoft.com/office/drawing/2014/main" id="{E0892FB5-0508-4EE7-A973-16842F8EEB92}"/>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dr:sp macro="" textlink="">
          <xdr:nvSpPr>
            <xdr:cNvPr id="0" name=""/>
            <xdr:cNvSpPr>
              <a:spLocks noTextEdit="1"/>
            </xdr:cNvSpPr>
          </xdr:nvSpPr>
          <xdr:spPr>
            <a:xfrm>
              <a:off x="107950" y="730251"/>
              <a:ext cx="1003300" cy="147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11</xdr:row>
      <xdr:rowOff>177800</xdr:rowOff>
    </xdr:from>
    <xdr:to>
      <xdr:col>1</xdr:col>
      <xdr:colOff>501650</xdr:colOff>
      <xdr:row>25</xdr:row>
      <xdr:rowOff>123825</xdr:rowOff>
    </xdr:to>
    <mc:AlternateContent xmlns:mc="http://schemas.openxmlformats.org/markup-compatibility/2006">
      <mc:Choice xmlns:a14="http://schemas.microsoft.com/office/drawing/2010/main" Requires="a14">
        <xdr:graphicFrame macro="">
          <xdr:nvGraphicFramePr>
            <xdr:cNvPr id="54" name="Months (Date)">
              <a:extLst>
                <a:ext uri="{FF2B5EF4-FFF2-40B4-BE49-F238E27FC236}">
                  <a16:creationId xmlns:a16="http://schemas.microsoft.com/office/drawing/2014/main" id="{C8F37E96-9767-4CB7-827E-1A8D6E319F0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07950" y="2203450"/>
              <a:ext cx="10033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0</xdr:rowOff>
    </xdr:from>
    <xdr:to>
      <xdr:col>7</xdr:col>
      <xdr:colOff>0</xdr:colOff>
      <xdr:row>34</xdr:row>
      <xdr:rowOff>0</xdr:rowOff>
    </xdr:to>
    <xdr:graphicFrame macro="">
      <xdr:nvGraphicFramePr>
        <xdr:cNvPr id="2" name="Chart 1">
          <a:extLst>
            <a:ext uri="{FF2B5EF4-FFF2-40B4-BE49-F238E27FC236}">
              <a16:creationId xmlns:a16="http://schemas.microsoft.com/office/drawing/2014/main" id="{F93BAC07-C9AB-075E-B4C1-3212699A8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18</xdr:row>
      <xdr:rowOff>0</xdr:rowOff>
    </xdr:from>
    <xdr:to>
      <xdr:col>14</xdr:col>
      <xdr:colOff>0</xdr:colOff>
      <xdr:row>34</xdr:row>
      <xdr:rowOff>0</xdr:rowOff>
    </xdr:to>
    <xdr:graphicFrame macro="">
      <xdr:nvGraphicFramePr>
        <xdr:cNvPr id="3" name="Chart 2">
          <a:extLst>
            <a:ext uri="{FF2B5EF4-FFF2-40B4-BE49-F238E27FC236}">
              <a16:creationId xmlns:a16="http://schemas.microsoft.com/office/drawing/2014/main" id="{86AC14AC-E4CF-50C2-0BFA-88B796FE2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18</xdr:row>
      <xdr:rowOff>0</xdr:rowOff>
    </xdr:from>
    <xdr:to>
      <xdr:col>22</xdr:col>
      <xdr:colOff>0</xdr:colOff>
      <xdr:row>34</xdr:row>
      <xdr:rowOff>0</xdr:rowOff>
    </xdr:to>
    <xdr:graphicFrame macro="">
      <xdr:nvGraphicFramePr>
        <xdr:cNvPr id="4" name="Chart 3">
          <a:extLst>
            <a:ext uri="{FF2B5EF4-FFF2-40B4-BE49-F238E27FC236}">
              <a16:creationId xmlns:a16="http://schemas.microsoft.com/office/drawing/2014/main" id="{4F388BEF-1B53-90A2-8B46-F58D00D74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4.575322916666" createdVersion="8" refreshedVersion="8" minRefreshableVersion="3" recordCount="500" xr:uid="{BE8FEE37-F217-462C-90C2-84C55CFDDEEC}">
  <cacheSource type="worksheet">
    <worksheetSource ref="A1:H501" sheet="paras_energy_dataset"/>
  </cacheSource>
  <cacheFields count="10">
    <cacheField name="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9"/>
    </cacheField>
    <cacheField name="Plant" numFmtId="0">
      <sharedItems count="4">
        <s v="Lagos Plant"/>
        <s v="Port Harcourt Plant"/>
        <s v="Abuja Plant"/>
        <s v="Kano Plant"/>
      </sharedItems>
    </cacheField>
    <cacheField name="Energy_Generated_MWh" numFmtId="0">
      <sharedItems containsSemiMixedTypes="0" containsString="0" containsNumber="1" minValue="501.72" maxValue="1580.8"/>
    </cacheField>
    <cacheField name="Downtime_Hours" numFmtId="0">
      <sharedItems containsSemiMixedTypes="0" containsString="0" containsNumber="1" containsInteger="1" minValue="0" maxValue="8"/>
    </cacheField>
    <cacheField name="Fuel_Cost_NGN" numFmtId="0">
      <sharedItems containsSemiMixedTypes="0" containsString="0" containsNumber="1" minValue="201011.68" maxValue="728149.37"/>
    </cacheField>
    <cacheField name="Maintenance_Cost_NGN" numFmtId="0">
      <sharedItems containsSemiMixedTypes="0" containsString="0" containsNumber="1" minValue="51703.05" maxValue="322907.5"/>
    </cacheField>
    <cacheField name="Revenue_NGN" numFmtId="0">
      <sharedItems containsSemiMixedTypes="0" containsString="0" containsNumber="1" minValue="466242.29" maxValue="1720701.66"/>
    </cacheField>
    <cacheField name="Efficiency_Score" numFmtId="0">
      <sharedItems containsSemiMixedTypes="0" containsString="0" containsNumber="1" minValue="1.1689999999999999E-3" maxValue="2.3340000000000001E-3"/>
    </cacheField>
    <cacheField name="Days (Date)" numFmtId="0" databaseField="0">
      <fieldGroup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431747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1274.51"/>
    <n v="2"/>
    <n v="475899.91"/>
    <n v="98712.54"/>
    <n v="1461184.77"/>
    <n v="2.2179999999999999E-3"/>
  </r>
  <r>
    <x v="1"/>
    <x v="0"/>
    <n v="1179.26"/>
    <n v="2"/>
    <n v="584307.56000000006"/>
    <n v="214866.4"/>
    <n v="1043569.52"/>
    <n v="1.4760000000000001E-3"/>
  </r>
  <r>
    <x v="2"/>
    <x v="1"/>
    <n v="1030.49"/>
    <n v="2"/>
    <n v="405686.76"/>
    <n v="181777.93"/>
    <n v="881888.54"/>
    <n v="1.7539999999999999E-3"/>
  </r>
  <r>
    <x v="3"/>
    <x v="2"/>
    <n v="930.14"/>
    <n v="1"/>
    <n v="389180.56"/>
    <n v="187776.39"/>
    <n v="818402.3"/>
    <n v="1.6119999999999999E-3"/>
  </r>
  <r>
    <x v="4"/>
    <x v="2"/>
    <n v="1383.92"/>
    <n v="0"/>
    <n v="610492.43000000005"/>
    <n v="75578.62"/>
    <n v="1143149.1299999999"/>
    <n v="2.0170000000000001E-3"/>
  </r>
  <r>
    <x v="5"/>
    <x v="2"/>
    <n v="1059.1300000000001"/>
    <n v="4"/>
    <n v="479401.5"/>
    <n v="196022.87"/>
    <n v="899009.95"/>
    <n v="1.5679999999999999E-3"/>
  </r>
  <r>
    <x v="6"/>
    <x v="0"/>
    <n v="1119.95"/>
    <n v="3"/>
    <n v="479351.17"/>
    <n v="192006.54"/>
    <n v="978773.44"/>
    <n v="1.668E-3"/>
  </r>
  <r>
    <x v="7"/>
    <x v="0"/>
    <n v="1199.17"/>
    <n v="6"/>
    <n v="454962.33"/>
    <n v="176784.09"/>
    <n v="1115387.31"/>
    <n v="1.8979999999999999E-3"/>
  </r>
  <r>
    <x v="8"/>
    <x v="3"/>
    <n v="678.22"/>
    <n v="2"/>
    <n v="292587.83"/>
    <n v="111138.63"/>
    <n v="760204.32"/>
    <n v="1.6800000000000001E-3"/>
  </r>
  <r>
    <x v="9"/>
    <x v="0"/>
    <n v="1092.02"/>
    <n v="0"/>
    <n v="543863.72"/>
    <n v="165836.72"/>
    <n v="960419.56"/>
    <n v="1.539E-3"/>
  </r>
  <r>
    <x v="10"/>
    <x v="0"/>
    <n v="1354.65"/>
    <n v="1"/>
    <n v="546966.81000000006"/>
    <n v="87380.36"/>
    <n v="1551401.14"/>
    <n v="2.1359999999999999E-3"/>
  </r>
  <r>
    <x v="11"/>
    <x v="0"/>
    <n v="1339.69"/>
    <n v="2"/>
    <n v="531385.29"/>
    <n v="138777.5"/>
    <n v="1462732.64"/>
    <n v="1.9989999999999999E-3"/>
  </r>
  <r>
    <x v="12"/>
    <x v="2"/>
    <n v="1125.22"/>
    <n v="1"/>
    <n v="514210.28"/>
    <n v="184117.76000000001"/>
    <n v="1152799.43"/>
    <n v="1.611E-3"/>
  </r>
  <r>
    <x v="13"/>
    <x v="2"/>
    <n v="1044.48"/>
    <n v="3"/>
    <n v="369551.95"/>
    <n v="126183.71"/>
    <n v="848718.28"/>
    <n v="2.1069999999999999E-3"/>
  </r>
  <r>
    <x v="14"/>
    <x v="0"/>
    <n v="987.19"/>
    <n v="2"/>
    <n v="406284.33"/>
    <n v="203332.67"/>
    <n v="880096.61"/>
    <n v="1.619E-3"/>
  </r>
  <r>
    <x v="15"/>
    <x v="2"/>
    <n v="1156.3699999999999"/>
    <n v="0"/>
    <n v="454989.96"/>
    <n v="74183.19"/>
    <n v="1355130.18"/>
    <n v="2.1849999999999999E-3"/>
  </r>
  <r>
    <x v="16"/>
    <x v="3"/>
    <n v="975.22"/>
    <n v="2"/>
    <n v="471891.88"/>
    <n v="170901.34"/>
    <n v="1095145.6299999999"/>
    <n v="1.5169999999999999E-3"/>
  </r>
  <r>
    <x v="17"/>
    <x v="2"/>
    <n v="1173.73"/>
    <n v="2"/>
    <n v="450934.88"/>
    <n v="154066.17000000001"/>
    <n v="1323033.1299999999"/>
    <n v="1.9400000000000001E-3"/>
  </r>
  <r>
    <x v="18"/>
    <x v="3"/>
    <n v="501.72"/>
    <n v="1"/>
    <n v="201011.68"/>
    <n v="211436.46"/>
    <n v="466242.29"/>
    <n v="1.2160000000000001E-3"/>
  </r>
  <r>
    <x v="19"/>
    <x v="1"/>
    <n v="1151.83"/>
    <n v="2"/>
    <n v="571038.52"/>
    <n v="234367.09"/>
    <n v="1037466.08"/>
    <n v="1.4300000000000001E-3"/>
  </r>
  <r>
    <x v="20"/>
    <x v="0"/>
    <n v="912.18"/>
    <n v="1"/>
    <n v="402669.77"/>
    <n v="145401.85"/>
    <n v="748530.7"/>
    <n v="1.6639999999999999E-3"/>
  </r>
  <r>
    <x v="21"/>
    <x v="2"/>
    <n v="996.02"/>
    <n v="2"/>
    <n v="370255.81"/>
    <n v="163417.91"/>
    <n v="1189510.51"/>
    <n v="1.866E-3"/>
  </r>
  <r>
    <x v="22"/>
    <x v="3"/>
    <n v="1015.09"/>
    <n v="2"/>
    <n v="411283.28"/>
    <n v="184845.87"/>
    <n v="1069312.6399999999"/>
    <n v="1.7030000000000001E-3"/>
  </r>
  <r>
    <x v="23"/>
    <x v="1"/>
    <n v="927.53"/>
    <n v="1"/>
    <n v="440851.25"/>
    <n v="118117.01"/>
    <n v="811225.58"/>
    <n v="1.6590000000000001E-3"/>
  </r>
  <r>
    <x v="24"/>
    <x v="1"/>
    <n v="1114.95"/>
    <n v="1"/>
    <n v="475875.24"/>
    <n v="103974.37"/>
    <n v="1179691.73"/>
    <n v="1.923E-3"/>
  </r>
  <r>
    <x v="25"/>
    <x v="2"/>
    <n v="924.48"/>
    <n v="1"/>
    <n v="377196.81"/>
    <n v="210509.5"/>
    <n v="790436.99"/>
    <n v="1.573E-3"/>
  </r>
  <r>
    <x v="26"/>
    <x v="2"/>
    <n v="882.51"/>
    <n v="4"/>
    <n v="382374.91"/>
    <n v="209447.59"/>
    <n v="791384.63"/>
    <n v="1.4909999999999999E-3"/>
  </r>
  <r>
    <x v="27"/>
    <x v="1"/>
    <n v="1051.69"/>
    <n v="0"/>
    <n v="509630.8"/>
    <n v="185062.71"/>
    <n v="1107683.3999999999"/>
    <n v="1.5139999999999999E-3"/>
  </r>
  <r>
    <x v="28"/>
    <x v="0"/>
    <n v="1014.46"/>
    <n v="5"/>
    <n v="379654.9"/>
    <n v="284783.13"/>
    <n v="1057644.49"/>
    <n v="1.5269999999999999E-3"/>
  </r>
  <r>
    <x v="29"/>
    <x v="0"/>
    <n v="1001.93"/>
    <n v="0"/>
    <n v="365926.16"/>
    <n v="149525.26999999999"/>
    <n v="803573.75"/>
    <n v="1.944E-3"/>
  </r>
  <r>
    <x v="30"/>
    <x v="3"/>
    <n v="926.22"/>
    <n v="2"/>
    <n v="423124.46"/>
    <n v="125587.36"/>
    <n v="861537.29"/>
    <n v="1.688E-3"/>
  </r>
  <r>
    <x v="31"/>
    <x v="0"/>
    <n v="1017.47"/>
    <n v="5"/>
    <n v="412236.19"/>
    <n v="189780.36"/>
    <n v="913278.44"/>
    <n v="1.6900000000000001E-3"/>
  </r>
  <r>
    <x v="32"/>
    <x v="1"/>
    <n v="1088.43"/>
    <n v="4"/>
    <n v="461363.17"/>
    <n v="159286.45000000001"/>
    <n v="1185284.5900000001"/>
    <n v="1.7539999999999999E-3"/>
  </r>
  <r>
    <x v="33"/>
    <x v="1"/>
    <n v="1151.17"/>
    <n v="1"/>
    <n v="514368"/>
    <n v="96566.6"/>
    <n v="1353990.37"/>
    <n v="1.884E-3"/>
  </r>
  <r>
    <x v="34"/>
    <x v="1"/>
    <n v="1081.3800000000001"/>
    <n v="4"/>
    <n v="516543.39"/>
    <n v="177538.3"/>
    <n v="938418.55"/>
    <n v="1.5579999999999999E-3"/>
  </r>
  <r>
    <x v="35"/>
    <x v="0"/>
    <n v="1311.05"/>
    <n v="4"/>
    <n v="579813.78"/>
    <n v="278508.08"/>
    <n v="1122303.82"/>
    <n v="1.5269999999999999E-3"/>
  </r>
  <r>
    <x v="36"/>
    <x v="3"/>
    <n v="1058.6099999999999"/>
    <n v="3"/>
    <n v="417134.78"/>
    <n v="231404.17"/>
    <n v="1189929.6200000001"/>
    <n v="1.632E-3"/>
  </r>
  <r>
    <x v="37"/>
    <x v="0"/>
    <n v="1207.7"/>
    <n v="5"/>
    <n v="549861.68999999994"/>
    <n v="269368.90000000002"/>
    <n v="1396108.55"/>
    <n v="1.474E-3"/>
  </r>
  <r>
    <x v="38"/>
    <x v="3"/>
    <n v="727.12"/>
    <n v="0"/>
    <n v="317561.76"/>
    <n v="55391.34"/>
    <n v="717109.51"/>
    <n v="1.9499999999999999E-3"/>
  </r>
  <r>
    <x v="39"/>
    <x v="0"/>
    <n v="974.88"/>
    <n v="2"/>
    <n v="345669.79"/>
    <n v="95602.23"/>
    <n v="1100684.0900000001"/>
    <n v="2.209E-3"/>
  </r>
  <r>
    <x v="40"/>
    <x v="1"/>
    <n v="966.03"/>
    <n v="2"/>
    <n v="428371"/>
    <n v="102802.12"/>
    <n v="792796.04"/>
    <n v="1.8190000000000001E-3"/>
  </r>
  <r>
    <x v="41"/>
    <x v="1"/>
    <n v="1049.78"/>
    <n v="3"/>
    <n v="521086.22"/>
    <n v="187445.05"/>
    <n v="975434.89"/>
    <n v="1.482E-3"/>
  </r>
  <r>
    <x v="42"/>
    <x v="2"/>
    <n v="900.73"/>
    <n v="1"/>
    <n v="318681.34000000003"/>
    <n v="214397.26"/>
    <n v="1021783.25"/>
    <n v="1.6900000000000001E-3"/>
  </r>
  <r>
    <x v="43"/>
    <x v="0"/>
    <n v="1327.87"/>
    <n v="2"/>
    <n v="495911.84"/>
    <n v="127536.43"/>
    <n v="1354011.55"/>
    <n v="2.1299999999999999E-3"/>
  </r>
  <r>
    <x v="44"/>
    <x v="0"/>
    <n v="1341.81"/>
    <n v="3"/>
    <n v="592754.24"/>
    <n v="172940.01"/>
    <n v="1206408.7"/>
    <n v="1.7520000000000001E-3"/>
  </r>
  <r>
    <x v="45"/>
    <x v="2"/>
    <n v="1189.96"/>
    <n v="2"/>
    <n v="437204.65"/>
    <n v="96900.4"/>
    <n v="971355.1"/>
    <n v="2.2279999999999999E-3"/>
  </r>
  <r>
    <x v="46"/>
    <x v="1"/>
    <n v="1166.57"/>
    <n v="1"/>
    <n v="494326.38"/>
    <n v="141020.76999999999"/>
    <n v="1014079.38"/>
    <n v="1.836E-3"/>
  </r>
  <r>
    <x v="47"/>
    <x v="0"/>
    <n v="1316.2"/>
    <n v="2"/>
    <n v="586054.36"/>
    <n v="96795.6"/>
    <n v="1250181.3999999999"/>
    <n v="1.928E-3"/>
  </r>
  <r>
    <x v="48"/>
    <x v="2"/>
    <n v="1008.78"/>
    <n v="2"/>
    <n v="363749.93"/>
    <n v="186362.89"/>
    <n v="817718.66"/>
    <n v="1.8339999999999999E-3"/>
  </r>
  <r>
    <x v="49"/>
    <x v="0"/>
    <n v="1552.2"/>
    <n v="3"/>
    <n v="693046.59"/>
    <n v="178737.93"/>
    <n v="1580522.08"/>
    <n v="1.7799999999999999E-3"/>
  </r>
  <r>
    <x v="50"/>
    <x v="3"/>
    <n v="877.23"/>
    <n v="3"/>
    <n v="320292.14"/>
    <n v="112733.27"/>
    <n v="734925.15"/>
    <n v="2.026E-3"/>
  </r>
  <r>
    <x v="51"/>
    <x v="1"/>
    <n v="1188.25"/>
    <n v="1"/>
    <n v="472739.96"/>
    <n v="196731.3"/>
    <n v="961659.19"/>
    <n v="1.7750000000000001E-3"/>
  </r>
  <r>
    <x v="52"/>
    <x v="3"/>
    <n v="811.6"/>
    <n v="0"/>
    <n v="368878.64"/>
    <n v="144341.43"/>
    <n v="934137.09"/>
    <n v="1.5809999999999999E-3"/>
  </r>
  <r>
    <x v="53"/>
    <x v="1"/>
    <n v="1227.44"/>
    <n v="3"/>
    <n v="567804.32999999996"/>
    <n v="231025.21"/>
    <n v="1468266.63"/>
    <n v="1.537E-3"/>
  </r>
  <r>
    <x v="54"/>
    <x v="2"/>
    <n v="731.85"/>
    <n v="4"/>
    <n v="338575.91"/>
    <n v="243181.43"/>
    <n v="615667.86"/>
    <n v="1.258E-3"/>
  </r>
  <r>
    <x v="55"/>
    <x v="1"/>
    <n v="916.91"/>
    <n v="3"/>
    <n v="444087.8"/>
    <n v="168380.25"/>
    <n v="737506.47"/>
    <n v="1.4970000000000001E-3"/>
  </r>
  <r>
    <x v="56"/>
    <x v="1"/>
    <n v="1148.6199999999999"/>
    <n v="4"/>
    <n v="458645.58"/>
    <n v="230877.77"/>
    <n v="1264578.43"/>
    <n v="1.6659999999999999E-3"/>
  </r>
  <r>
    <x v="57"/>
    <x v="2"/>
    <n v="980.48"/>
    <n v="2"/>
    <n v="415882.76"/>
    <n v="98633.81"/>
    <n v="999903.34"/>
    <n v="1.9059999999999999E-3"/>
  </r>
  <r>
    <x v="58"/>
    <x v="1"/>
    <n v="1246.27"/>
    <n v="1"/>
    <n v="462924.68"/>
    <n v="184226.59"/>
    <n v="1305200.51"/>
    <n v="1.926E-3"/>
  </r>
  <r>
    <x v="59"/>
    <x v="0"/>
    <n v="1177.94"/>
    <n v="0"/>
    <n v="427140.42"/>
    <n v="155145.37"/>
    <n v="976637.34"/>
    <n v="2.0230000000000001E-3"/>
  </r>
  <r>
    <x v="60"/>
    <x v="2"/>
    <n v="1083.8699999999999"/>
    <n v="0"/>
    <n v="393146.15"/>
    <n v="197995.94"/>
    <n v="1029356.92"/>
    <n v="1.8339999999999999E-3"/>
  </r>
  <r>
    <x v="61"/>
    <x v="2"/>
    <n v="1130.8800000000001"/>
    <n v="5"/>
    <n v="409972.84"/>
    <n v="266572.03999999998"/>
    <n v="1157300.55"/>
    <n v="1.6720000000000001E-3"/>
  </r>
  <r>
    <x v="62"/>
    <x v="2"/>
    <n v="1128.6500000000001"/>
    <n v="0"/>
    <n v="478427.25"/>
    <n v="51703.05"/>
    <n v="1114500.49"/>
    <n v="2.1289999999999998E-3"/>
  </r>
  <r>
    <x v="63"/>
    <x v="3"/>
    <n v="876.01"/>
    <n v="0"/>
    <n v="322216.07"/>
    <n v="67628.94"/>
    <n v="928293.06"/>
    <n v="2.2469999999999999E-3"/>
  </r>
  <r>
    <x v="64"/>
    <x v="3"/>
    <n v="977.9"/>
    <n v="2"/>
    <n v="469676.41"/>
    <n v="123539.38"/>
    <n v="1159096.47"/>
    <n v="1.6479999999999999E-3"/>
  </r>
  <r>
    <x v="65"/>
    <x v="1"/>
    <n v="1329.91"/>
    <n v="0"/>
    <n v="658946.65"/>
    <n v="56473.99"/>
    <n v="1537985.02"/>
    <n v="1.859E-3"/>
  </r>
  <r>
    <x v="66"/>
    <x v="2"/>
    <n v="1033.6099999999999"/>
    <n v="0"/>
    <n v="447635.58"/>
    <n v="195395.38"/>
    <n v="1043163.57"/>
    <n v="1.6069999999999999E-3"/>
  </r>
  <r>
    <x v="67"/>
    <x v="1"/>
    <n v="1101.8900000000001"/>
    <n v="3"/>
    <n v="482238.52"/>
    <n v="245173.7"/>
    <n v="901541.83"/>
    <n v="1.5150000000000001E-3"/>
  </r>
  <r>
    <x v="68"/>
    <x v="0"/>
    <n v="1183.3599999999999"/>
    <n v="2"/>
    <n v="496484.41"/>
    <n v="143002.82999999999"/>
    <n v="1222958.3400000001"/>
    <n v="1.8500000000000001E-3"/>
  </r>
  <r>
    <x v="69"/>
    <x v="2"/>
    <n v="1146.45"/>
    <n v="0"/>
    <n v="568819.93999999994"/>
    <n v="197931.61"/>
    <n v="1237319.08"/>
    <n v="1.495E-3"/>
  </r>
  <r>
    <x v="70"/>
    <x v="0"/>
    <n v="913.09"/>
    <n v="2"/>
    <n v="444347.23"/>
    <n v="213380.59"/>
    <n v="1077377.8700000001"/>
    <n v="1.3879999999999999E-3"/>
  </r>
  <r>
    <x v="71"/>
    <x v="1"/>
    <n v="1154.3699999999999"/>
    <n v="5"/>
    <n v="408595.61"/>
    <n v="206469.51"/>
    <n v="1297769.03"/>
    <n v="1.877E-3"/>
  </r>
  <r>
    <x v="72"/>
    <x v="3"/>
    <n v="643.03"/>
    <n v="4"/>
    <n v="251431.77"/>
    <n v="138456.32000000001"/>
    <n v="736840.77"/>
    <n v="1.6490000000000001E-3"/>
  </r>
  <r>
    <x v="73"/>
    <x v="1"/>
    <n v="1303.08"/>
    <n v="7"/>
    <n v="544142.62"/>
    <n v="209373.91"/>
    <n v="1539746.94"/>
    <n v="1.7290000000000001E-3"/>
  </r>
  <r>
    <x v="74"/>
    <x v="0"/>
    <n v="994.71"/>
    <n v="3"/>
    <n v="448352.25"/>
    <n v="188046.16"/>
    <n v="1103062.78"/>
    <n v="1.5629999999999999E-3"/>
  </r>
  <r>
    <x v="75"/>
    <x v="2"/>
    <n v="1080.32"/>
    <n v="4"/>
    <n v="443497.14"/>
    <n v="150102.28"/>
    <n v="876696.86"/>
    <n v="1.82E-3"/>
  </r>
  <r>
    <x v="76"/>
    <x v="1"/>
    <n v="1196.81"/>
    <n v="2"/>
    <n v="421493.31"/>
    <n v="142588.13"/>
    <n v="1239852.02"/>
    <n v="2.1220000000000002E-3"/>
  </r>
  <r>
    <x v="77"/>
    <x v="2"/>
    <n v="1205.29"/>
    <n v="3"/>
    <n v="514779.48"/>
    <n v="227547.95"/>
    <n v="1155416.1599999999"/>
    <n v="1.624E-3"/>
  </r>
  <r>
    <x v="78"/>
    <x v="3"/>
    <n v="1047.23"/>
    <n v="2"/>
    <n v="443835.23"/>
    <n v="128736.66"/>
    <n v="1030114.37"/>
    <n v="1.8289999999999999E-3"/>
  </r>
  <r>
    <x v="79"/>
    <x v="3"/>
    <n v="949.61"/>
    <n v="3"/>
    <n v="366568.3"/>
    <n v="121379.5"/>
    <n v="808638"/>
    <n v="1.946E-3"/>
  </r>
  <r>
    <x v="80"/>
    <x v="3"/>
    <n v="954.99"/>
    <n v="1"/>
    <n v="462709.97"/>
    <n v="141094.25"/>
    <n v="1018996.11"/>
    <n v="1.5820000000000001E-3"/>
  </r>
  <r>
    <x v="81"/>
    <x v="2"/>
    <n v="859.02"/>
    <n v="1"/>
    <n v="305922.34000000003"/>
    <n v="95340.26"/>
    <n v="782940.08"/>
    <n v="2.1410000000000001E-3"/>
  </r>
  <r>
    <x v="82"/>
    <x v="1"/>
    <n v="1083.95"/>
    <n v="1"/>
    <n v="461232.43"/>
    <n v="173559.22"/>
    <n v="884201.24"/>
    <n v="1.7080000000000001E-3"/>
  </r>
  <r>
    <x v="83"/>
    <x v="2"/>
    <n v="844.71"/>
    <n v="2"/>
    <n v="406338.35"/>
    <n v="228130.86"/>
    <n v="696408.28"/>
    <n v="1.3309999999999999E-3"/>
  </r>
  <r>
    <x v="84"/>
    <x v="2"/>
    <n v="1127.7"/>
    <n v="2"/>
    <n v="457363.48"/>
    <n v="162678.45000000001"/>
    <n v="1181045.6499999999"/>
    <n v="1.8190000000000001E-3"/>
  </r>
  <r>
    <x v="85"/>
    <x v="1"/>
    <n v="1006.95"/>
    <n v="2"/>
    <n v="357971.6"/>
    <n v="127865.54"/>
    <n v="1092878"/>
    <n v="2.0730000000000002E-3"/>
  </r>
  <r>
    <x v="86"/>
    <x v="3"/>
    <n v="904.29"/>
    <n v="1"/>
    <n v="377191.37"/>
    <n v="149892.59"/>
    <n v="811140.23"/>
    <n v="1.7160000000000001E-3"/>
  </r>
  <r>
    <x v="87"/>
    <x v="3"/>
    <n v="1045.29"/>
    <n v="1"/>
    <n v="368999.76"/>
    <n v="118311.87"/>
    <n v="924644.87"/>
    <n v="2.1450000000000002E-3"/>
  </r>
  <r>
    <x v="88"/>
    <x v="1"/>
    <n v="984.02"/>
    <n v="5"/>
    <n v="423683.92"/>
    <n v="238026.17"/>
    <n v="1080622.83"/>
    <n v="1.487E-3"/>
  </r>
  <r>
    <x v="89"/>
    <x v="2"/>
    <n v="947.38"/>
    <n v="1"/>
    <n v="371910.18"/>
    <n v="124462.34"/>
    <n v="1002677.34"/>
    <n v="1.9090000000000001E-3"/>
  </r>
  <r>
    <x v="90"/>
    <x v="2"/>
    <n v="712.93"/>
    <n v="3"/>
    <n v="265873.43"/>
    <n v="146893.66"/>
    <n v="616168.74"/>
    <n v="1.727E-3"/>
  </r>
  <r>
    <x v="91"/>
    <x v="3"/>
    <n v="1041.19"/>
    <n v="1"/>
    <n v="391494.74"/>
    <n v="204514.81"/>
    <n v="866369.67"/>
    <n v="1.7470000000000001E-3"/>
  </r>
  <r>
    <x v="92"/>
    <x v="0"/>
    <n v="824.59"/>
    <n v="1"/>
    <n v="337815.05"/>
    <n v="215420.56"/>
    <n v="945142.91"/>
    <n v="1.49E-3"/>
  </r>
  <r>
    <x v="93"/>
    <x v="0"/>
    <n v="1302.7"/>
    <n v="2"/>
    <n v="586599.57999999996"/>
    <n v="229406.4"/>
    <n v="1332274.26"/>
    <n v="1.596E-3"/>
  </r>
  <r>
    <x v="94"/>
    <x v="0"/>
    <n v="949.59"/>
    <n v="2"/>
    <n v="392954.7"/>
    <n v="166141.56"/>
    <n v="851747.23"/>
    <n v="1.6980000000000001E-3"/>
  </r>
  <r>
    <x v="95"/>
    <x v="2"/>
    <n v="1081.5"/>
    <n v="0"/>
    <n v="477584.62"/>
    <n v="93294.58"/>
    <n v="1116647.81"/>
    <n v="1.8940000000000001E-3"/>
  </r>
  <r>
    <x v="96"/>
    <x v="2"/>
    <n v="990.09"/>
    <n v="1"/>
    <n v="396520.99"/>
    <n v="90162.2"/>
    <n v="817169.14"/>
    <n v="2.0339999999999998E-3"/>
  </r>
  <r>
    <x v="97"/>
    <x v="3"/>
    <n v="718.35"/>
    <n v="3"/>
    <n v="324855.02"/>
    <n v="224034.18"/>
    <n v="745828.31"/>
    <n v="1.3090000000000001E-3"/>
  </r>
  <r>
    <x v="98"/>
    <x v="0"/>
    <n v="829.25"/>
    <n v="4"/>
    <n v="381149.81"/>
    <n v="270751.07"/>
    <n v="723517.91"/>
    <n v="1.2719999999999999E-3"/>
  </r>
  <r>
    <x v="99"/>
    <x v="3"/>
    <n v="780.47"/>
    <n v="0"/>
    <n v="359925.89"/>
    <n v="136170.97"/>
    <n v="887179.97"/>
    <n v="1.573E-3"/>
  </r>
  <r>
    <x v="100"/>
    <x v="3"/>
    <n v="950.64"/>
    <n v="1"/>
    <n v="356147.8"/>
    <n v="192186.21"/>
    <n v="1013457.66"/>
    <n v="1.7340000000000001E-3"/>
  </r>
  <r>
    <x v="101"/>
    <x v="3"/>
    <n v="838.22"/>
    <n v="3"/>
    <n v="396049.77"/>
    <n v="175870.24"/>
    <n v="796959.47"/>
    <n v="1.4660000000000001E-3"/>
  </r>
  <r>
    <x v="102"/>
    <x v="1"/>
    <n v="819.38"/>
    <n v="2"/>
    <n v="397347.6"/>
    <n v="147583.67999999999"/>
    <n v="833655.77"/>
    <n v="1.5039999999999999E-3"/>
  </r>
  <r>
    <x v="103"/>
    <x v="0"/>
    <n v="1147.27"/>
    <n v="2"/>
    <n v="563282.14"/>
    <n v="184156.21"/>
    <n v="1071509.6499999999"/>
    <n v="1.5349999999999999E-3"/>
  </r>
  <r>
    <x v="104"/>
    <x v="0"/>
    <n v="1250.77"/>
    <n v="4"/>
    <n v="496255.16"/>
    <n v="167273.37"/>
    <n v="1372823.18"/>
    <n v="1.885E-3"/>
  </r>
  <r>
    <x v="105"/>
    <x v="1"/>
    <n v="1037.71"/>
    <n v="0"/>
    <n v="451904.15"/>
    <n v="164368.79999999999"/>
    <n v="1194095.72"/>
    <n v="1.684E-3"/>
  </r>
  <r>
    <x v="106"/>
    <x v="1"/>
    <n v="1255.6300000000001"/>
    <n v="0"/>
    <n v="598895.61"/>
    <n v="69123.3"/>
    <n v="1204043.29"/>
    <n v="1.8799999999999999E-3"/>
  </r>
  <r>
    <x v="107"/>
    <x v="0"/>
    <n v="1123.5"/>
    <n v="1"/>
    <n v="431858.65"/>
    <n v="178337.89"/>
    <n v="1222381.74"/>
    <n v="1.841E-3"/>
  </r>
  <r>
    <x v="108"/>
    <x v="1"/>
    <n v="1307.8900000000001"/>
    <n v="2"/>
    <n v="493386.28"/>
    <n v="226267.58"/>
    <n v="1351512.27"/>
    <n v="1.817E-3"/>
  </r>
  <r>
    <x v="109"/>
    <x v="3"/>
    <n v="1051.29"/>
    <n v="3"/>
    <n v="460396.33"/>
    <n v="185883.3"/>
    <n v="1098158.75"/>
    <n v="1.627E-3"/>
  </r>
  <r>
    <x v="110"/>
    <x v="2"/>
    <n v="1016.41"/>
    <n v="3"/>
    <n v="443604.95"/>
    <n v="201007.26"/>
    <n v="985563.51"/>
    <n v="1.5770000000000001E-3"/>
  </r>
  <r>
    <x v="111"/>
    <x v="3"/>
    <n v="1008.86"/>
    <n v="4"/>
    <n v="502138.52"/>
    <n v="255834.71"/>
    <n v="857399.12"/>
    <n v="1.3309999999999999E-3"/>
  </r>
  <r>
    <x v="112"/>
    <x v="0"/>
    <n v="1580.8"/>
    <n v="1"/>
    <n v="632763.43999999994"/>
    <n v="190428.02"/>
    <n v="1267571.8600000001"/>
    <n v="1.92E-3"/>
  </r>
  <r>
    <x v="113"/>
    <x v="1"/>
    <n v="1178.5899999999999"/>
    <n v="1"/>
    <n v="507513.11"/>
    <n v="207978.34"/>
    <n v="1106154.69"/>
    <n v="1.647E-3"/>
  </r>
  <r>
    <x v="114"/>
    <x v="2"/>
    <n v="1190.52"/>
    <n v="1"/>
    <n v="497477.26"/>
    <n v="91128.55"/>
    <n v="1036411.88"/>
    <n v="2.0230000000000001E-3"/>
  </r>
  <r>
    <x v="115"/>
    <x v="0"/>
    <n v="1077.23"/>
    <n v="3"/>
    <n v="470844.08"/>
    <n v="204839.64"/>
    <n v="867425.38"/>
    <n v="1.5939999999999999E-3"/>
  </r>
  <r>
    <x v="116"/>
    <x v="1"/>
    <n v="947.42"/>
    <n v="2"/>
    <n v="343726.72"/>
    <n v="239531.14"/>
    <n v="948253.01"/>
    <n v="1.624E-3"/>
  </r>
  <r>
    <x v="117"/>
    <x v="2"/>
    <n v="1077.5"/>
    <n v="1"/>
    <n v="498337.54"/>
    <n v="101485.84"/>
    <n v="1249061.8600000001"/>
    <n v="1.7960000000000001E-3"/>
  </r>
  <r>
    <x v="118"/>
    <x v="2"/>
    <n v="913.95"/>
    <n v="0"/>
    <n v="384599.63"/>
    <n v="134726.17000000001"/>
    <n v="755182.34"/>
    <n v="1.7600000000000001E-3"/>
  </r>
  <r>
    <x v="119"/>
    <x v="1"/>
    <n v="1017.97"/>
    <n v="3"/>
    <n v="417484.69"/>
    <n v="193946.05"/>
    <n v="877588.96"/>
    <n v="1.665E-3"/>
  </r>
  <r>
    <x v="120"/>
    <x v="2"/>
    <n v="1043.48"/>
    <n v="2"/>
    <n v="466016.46"/>
    <n v="151310.13"/>
    <n v="845377.1"/>
    <n v="1.6900000000000001E-3"/>
  </r>
  <r>
    <x v="121"/>
    <x v="0"/>
    <n v="1161.78"/>
    <n v="1"/>
    <n v="521450.27"/>
    <n v="74064.399999999994"/>
    <n v="1032574.29"/>
    <n v="1.951E-3"/>
  </r>
  <r>
    <x v="122"/>
    <x v="1"/>
    <n v="1208.25"/>
    <n v="0"/>
    <n v="441756.18"/>
    <n v="169987.41"/>
    <n v="1052891.3400000001"/>
    <n v="1.9750000000000002E-3"/>
  </r>
  <r>
    <x v="123"/>
    <x v="3"/>
    <n v="730.64"/>
    <n v="2"/>
    <n v="282375.56"/>
    <n v="198340.04"/>
    <n v="834596.98"/>
    <n v="1.5200000000000001E-3"/>
  </r>
  <r>
    <x v="124"/>
    <x v="0"/>
    <n v="1145.8599999999999"/>
    <n v="2"/>
    <n v="555109.92000000004"/>
    <n v="91950.29"/>
    <n v="955876.21"/>
    <n v="1.771E-3"/>
  </r>
  <r>
    <x v="125"/>
    <x v="0"/>
    <n v="1373.9"/>
    <n v="1"/>
    <n v="518255.92"/>
    <n v="157456.23000000001"/>
    <n v="1330717.56"/>
    <n v="2.0330000000000001E-3"/>
  </r>
  <r>
    <x v="126"/>
    <x v="1"/>
    <n v="913.77"/>
    <n v="2"/>
    <n v="405370.92"/>
    <n v="151411.75"/>
    <n v="932798.58"/>
    <n v="1.6410000000000001E-3"/>
  </r>
  <r>
    <x v="127"/>
    <x v="1"/>
    <n v="977.55"/>
    <n v="1"/>
    <n v="481218.64"/>
    <n v="184540.87"/>
    <n v="836830.64"/>
    <n v="1.4679999999999999E-3"/>
  </r>
  <r>
    <x v="128"/>
    <x v="2"/>
    <n v="994.35"/>
    <n v="3"/>
    <n v="388098.27"/>
    <n v="191245.13"/>
    <n v="1047444.68"/>
    <n v="1.7160000000000001E-3"/>
  </r>
  <r>
    <x v="129"/>
    <x v="0"/>
    <n v="1365.5"/>
    <n v="1"/>
    <n v="648937.34"/>
    <n v="217660.33"/>
    <n v="1379527.21"/>
    <n v="1.5759999999999999E-3"/>
  </r>
  <r>
    <x v="130"/>
    <x v="2"/>
    <n v="919.04"/>
    <n v="0"/>
    <n v="447703.65"/>
    <n v="67662.66"/>
    <n v="947164.61"/>
    <n v="1.7830000000000001E-3"/>
  </r>
  <r>
    <x v="131"/>
    <x v="0"/>
    <n v="1083.25"/>
    <n v="2"/>
    <n v="513962.21"/>
    <n v="120963.19"/>
    <n v="871367.94"/>
    <n v="1.7060000000000001E-3"/>
  </r>
  <r>
    <x v="132"/>
    <x v="0"/>
    <n v="1238.4000000000001"/>
    <n v="2"/>
    <n v="603303.34"/>
    <n v="152815.57999999999"/>
    <n v="1180515.75"/>
    <n v="1.6379999999999999E-3"/>
  </r>
  <r>
    <x v="133"/>
    <x v="3"/>
    <n v="1047.4000000000001"/>
    <n v="1"/>
    <n v="392716.15"/>
    <n v="180705.04"/>
    <n v="872612.37"/>
    <n v="1.8270000000000001E-3"/>
  </r>
  <r>
    <x v="134"/>
    <x v="0"/>
    <n v="984.85"/>
    <n v="1"/>
    <n v="397238.23"/>
    <n v="177856.89"/>
    <n v="904923.77"/>
    <n v="1.712E-3"/>
  </r>
  <r>
    <x v="135"/>
    <x v="2"/>
    <n v="1087.1500000000001"/>
    <n v="4"/>
    <n v="415554.63"/>
    <n v="134677.47"/>
    <n v="983771.13"/>
    <n v="1.9759999999999999E-3"/>
  </r>
  <r>
    <x v="136"/>
    <x v="2"/>
    <n v="913.65"/>
    <n v="2"/>
    <n v="425431.1"/>
    <n v="105989.74"/>
    <n v="758383.44"/>
    <n v="1.719E-3"/>
  </r>
  <r>
    <x v="137"/>
    <x v="3"/>
    <n v="918.3"/>
    <n v="3"/>
    <n v="355346.22"/>
    <n v="232865.35"/>
    <n v="1028283.09"/>
    <n v="1.5610000000000001E-3"/>
  </r>
  <r>
    <x v="138"/>
    <x v="2"/>
    <n v="836.83"/>
    <n v="2"/>
    <n v="408037.22"/>
    <n v="110522.79"/>
    <n v="987542.22"/>
    <n v="1.614E-3"/>
  </r>
  <r>
    <x v="139"/>
    <x v="1"/>
    <n v="1239.42"/>
    <n v="1"/>
    <n v="534544.46"/>
    <n v="200941.88"/>
    <n v="1354552.26"/>
    <n v="1.6850000000000001E-3"/>
  </r>
  <r>
    <x v="140"/>
    <x v="3"/>
    <n v="983.97"/>
    <n v="3"/>
    <n v="377038.47"/>
    <n v="258150.2"/>
    <n v="1158744.74"/>
    <n v="1.549E-3"/>
  </r>
  <r>
    <x v="141"/>
    <x v="2"/>
    <n v="1162.1199999999999"/>
    <n v="0"/>
    <n v="529735.14"/>
    <n v="188787.25"/>
    <n v="1013633.57"/>
    <n v="1.6169999999999999E-3"/>
  </r>
  <r>
    <x v="142"/>
    <x v="2"/>
    <n v="1122.77"/>
    <n v="0"/>
    <n v="510427.12"/>
    <n v="94602.35"/>
    <n v="1313372.8999999999"/>
    <n v="1.856E-3"/>
  </r>
  <r>
    <x v="143"/>
    <x v="1"/>
    <n v="1120.08"/>
    <n v="5"/>
    <n v="531294.39"/>
    <n v="155551.15"/>
    <n v="1163209.02"/>
    <n v="1.6310000000000001E-3"/>
  </r>
  <r>
    <x v="144"/>
    <x v="3"/>
    <n v="834.83"/>
    <n v="0"/>
    <n v="379380.9"/>
    <n v="100981.24"/>
    <n v="909881.98"/>
    <n v="1.738E-3"/>
  </r>
  <r>
    <x v="145"/>
    <x v="1"/>
    <n v="1053.6199999999999"/>
    <n v="0"/>
    <n v="418598.09"/>
    <n v="130923.69"/>
    <n v="1176149.3600000001"/>
    <n v="1.9170000000000001E-3"/>
  </r>
  <r>
    <x v="146"/>
    <x v="3"/>
    <n v="1054.78"/>
    <n v="2"/>
    <n v="373032.44"/>
    <n v="220514.83"/>
    <n v="852795.14"/>
    <n v="1.7769999999999999E-3"/>
  </r>
  <r>
    <x v="147"/>
    <x v="3"/>
    <n v="677.17"/>
    <n v="5"/>
    <n v="314935.15000000002"/>
    <n v="210289.64"/>
    <n v="671714.93"/>
    <n v="1.289E-3"/>
  </r>
  <r>
    <x v="148"/>
    <x v="0"/>
    <n v="1337.97"/>
    <n v="3"/>
    <n v="616320.85"/>
    <n v="145816.57"/>
    <n v="1129503.8999999999"/>
    <n v="1.756E-3"/>
  </r>
  <r>
    <x v="149"/>
    <x v="2"/>
    <n v="1047.08"/>
    <n v="1"/>
    <n v="413016.47"/>
    <n v="105041.16"/>
    <n v="855293.4"/>
    <n v="2.0209999999999998E-3"/>
  </r>
  <r>
    <x v="150"/>
    <x v="2"/>
    <n v="709.95"/>
    <n v="3"/>
    <n v="258003.47"/>
    <n v="172637.12"/>
    <n v="817610.01"/>
    <n v="1.6490000000000001E-3"/>
  </r>
  <r>
    <x v="151"/>
    <x v="0"/>
    <n v="1018.89"/>
    <n v="3"/>
    <n v="508095.58"/>
    <n v="144750.76"/>
    <n v="1199328.73"/>
    <n v="1.5610000000000001E-3"/>
  </r>
  <r>
    <x v="152"/>
    <x v="1"/>
    <n v="1275.07"/>
    <n v="1"/>
    <n v="480035.62"/>
    <n v="103072.93"/>
    <n v="1115140.74"/>
    <n v="2.1870000000000001E-3"/>
  </r>
  <r>
    <x v="153"/>
    <x v="0"/>
    <n v="1443.17"/>
    <n v="2"/>
    <n v="714894.64"/>
    <n v="222567.88"/>
    <n v="1690093.35"/>
    <n v="1.539E-3"/>
  </r>
  <r>
    <x v="154"/>
    <x v="2"/>
    <n v="1213.08"/>
    <n v="1"/>
    <n v="573026.56999999995"/>
    <n v="103666.09"/>
    <n v="1079063.5900000001"/>
    <n v="1.7930000000000001E-3"/>
  </r>
  <r>
    <x v="155"/>
    <x v="2"/>
    <n v="914.39"/>
    <n v="3"/>
    <n v="440386.78"/>
    <n v="149840.01"/>
    <n v="778881.2"/>
    <n v="1.549E-3"/>
  </r>
  <r>
    <x v="156"/>
    <x v="0"/>
    <n v="1242.8800000000001"/>
    <n v="2"/>
    <n v="511156.67"/>
    <n v="145903.28"/>
    <n v="1123440.94"/>
    <n v="1.892E-3"/>
  </r>
  <r>
    <x v="157"/>
    <x v="0"/>
    <n v="1250.17"/>
    <n v="2"/>
    <n v="478848.9"/>
    <n v="192488.81"/>
    <n v="1038205.38"/>
    <n v="1.8619999999999999E-3"/>
  </r>
  <r>
    <x v="158"/>
    <x v="0"/>
    <n v="1197.54"/>
    <n v="3"/>
    <n v="540930.17000000004"/>
    <n v="194859.79"/>
    <n v="1085939.7"/>
    <n v="1.6280000000000001E-3"/>
  </r>
  <r>
    <x v="159"/>
    <x v="2"/>
    <n v="1178.26"/>
    <n v="8"/>
    <n v="521723.31"/>
    <n v="322907.5"/>
    <n v="1017358.35"/>
    <n v="1.395E-3"/>
  </r>
  <r>
    <x v="160"/>
    <x v="0"/>
    <n v="1144.45"/>
    <n v="1"/>
    <n v="540976.56000000006"/>
    <n v="194820.13"/>
    <n v="1147870.08"/>
    <n v="1.555E-3"/>
  </r>
  <r>
    <x v="161"/>
    <x v="0"/>
    <n v="1074.97"/>
    <n v="0"/>
    <n v="422521.59"/>
    <n v="142539.04"/>
    <n v="1281869.69"/>
    <n v="1.902E-3"/>
  </r>
  <r>
    <x v="162"/>
    <x v="1"/>
    <n v="896.02"/>
    <n v="3"/>
    <n v="415892.17"/>
    <n v="191189.99"/>
    <n v="1061961.9099999999"/>
    <n v="1.4760000000000001E-3"/>
  </r>
  <r>
    <x v="163"/>
    <x v="0"/>
    <n v="1311.94"/>
    <n v="3"/>
    <n v="643616.17000000004"/>
    <n v="213182.86"/>
    <n v="1085149.6399999999"/>
    <n v="1.531E-3"/>
  </r>
  <r>
    <x v="164"/>
    <x v="2"/>
    <n v="1161.04"/>
    <n v="0"/>
    <n v="507754.56"/>
    <n v="101882.46"/>
    <n v="1217200.0900000001"/>
    <n v="1.9040000000000001E-3"/>
  </r>
  <r>
    <x v="165"/>
    <x v="1"/>
    <n v="946.02"/>
    <n v="0"/>
    <n v="454781.99"/>
    <n v="196023.35"/>
    <n v="1123450.3400000001"/>
    <n v="1.454E-3"/>
  </r>
  <r>
    <x v="166"/>
    <x v="3"/>
    <n v="816.16"/>
    <n v="1"/>
    <n v="288365.06"/>
    <n v="118541.53"/>
    <n v="812454.13"/>
    <n v="2.006E-3"/>
  </r>
  <r>
    <x v="167"/>
    <x v="2"/>
    <n v="1056.58"/>
    <n v="3"/>
    <n v="527835.16"/>
    <n v="173927.2"/>
    <n v="1036036.35"/>
    <n v="1.506E-3"/>
  </r>
  <r>
    <x v="168"/>
    <x v="2"/>
    <n v="1066"/>
    <n v="2"/>
    <n v="481912.82"/>
    <n v="188176.68"/>
    <n v="969319.83"/>
    <n v="1.591E-3"/>
  </r>
  <r>
    <x v="169"/>
    <x v="3"/>
    <n v="824.69"/>
    <n v="2"/>
    <n v="405371.01"/>
    <n v="152959.1"/>
    <n v="870388.36"/>
    <n v="1.477E-3"/>
  </r>
  <r>
    <x v="170"/>
    <x v="2"/>
    <n v="771.17"/>
    <n v="3"/>
    <n v="294560.96000000002"/>
    <n v="114670.11"/>
    <n v="817955.66"/>
    <n v="1.884E-3"/>
  </r>
  <r>
    <x v="171"/>
    <x v="3"/>
    <n v="796.21"/>
    <n v="4"/>
    <n v="382416.29"/>
    <n v="246489.53"/>
    <n v="882498.47"/>
    <n v="1.266E-3"/>
  </r>
  <r>
    <x v="172"/>
    <x v="3"/>
    <n v="968.99"/>
    <n v="1"/>
    <n v="343873.9"/>
    <n v="208127.18"/>
    <n v="1014202.52"/>
    <n v="1.755E-3"/>
  </r>
  <r>
    <x v="173"/>
    <x v="2"/>
    <n v="1091.1300000000001"/>
    <n v="2"/>
    <n v="402383.54"/>
    <n v="192834.79"/>
    <n v="1060709.1000000001"/>
    <n v="1.833E-3"/>
  </r>
  <r>
    <x v="174"/>
    <x v="0"/>
    <n v="1193.98"/>
    <n v="0"/>
    <n v="522120.72"/>
    <n v="90349.01"/>
    <n v="1336087.71"/>
    <n v="1.949E-3"/>
  </r>
  <r>
    <x v="175"/>
    <x v="0"/>
    <n v="985.38"/>
    <n v="2"/>
    <n v="355592.5"/>
    <n v="148874.03"/>
    <n v="977476.56"/>
    <n v="1.9530000000000001E-3"/>
  </r>
  <r>
    <x v="176"/>
    <x v="3"/>
    <n v="662.41"/>
    <n v="3"/>
    <n v="279589.32"/>
    <n v="125739.53"/>
    <n v="594065.31999999995"/>
    <n v="1.634E-3"/>
  </r>
  <r>
    <x v="177"/>
    <x v="1"/>
    <n v="1214.06"/>
    <n v="2"/>
    <n v="537493.69999999995"/>
    <n v="195369.75"/>
    <n v="1243029.08"/>
    <n v="1.6570000000000001E-3"/>
  </r>
  <r>
    <x v="178"/>
    <x v="3"/>
    <n v="768.55"/>
    <n v="1"/>
    <n v="278052.02"/>
    <n v="129538.49"/>
    <n v="655641.35"/>
    <n v="1.8860000000000001E-3"/>
  </r>
  <r>
    <x v="179"/>
    <x v="3"/>
    <n v="905.65"/>
    <n v="3"/>
    <n v="339729.23"/>
    <n v="125685.18"/>
    <n v="955072.2"/>
    <n v="1.946E-3"/>
  </r>
  <r>
    <x v="180"/>
    <x v="3"/>
    <n v="1171.8"/>
    <n v="5"/>
    <n v="567410.48"/>
    <n v="232138.86"/>
    <n v="1320520.45"/>
    <n v="1.4660000000000001E-3"/>
  </r>
  <r>
    <x v="181"/>
    <x v="0"/>
    <n v="1253.69"/>
    <n v="3"/>
    <n v="454141.89"/>
    <n v="119052.81"/>
    <n v="1126867.32"/>
    <n v="2.1870000000000001E-3"/>
  </r>
  <r>
    <x v="182"/>
    <x v="0"/>
    <n v="1045.26"/>
    <n v="4"/>
    <n v="401661.56"/>
    <n v="279450.09000000003"/>
    <n v="1243777.1599999999"/>
    <n v="1.5349999999999999E-3"/>
  </r>
  <r>
    <x v="183"/>
    <x v="0"/>
    <n v="1120.6099999999999"/>
    <n v="1"/>
    <n v="506551.94"/>
    <n v="80829.759999999995"/>
    <n v="910223.95"/>
    <n v="1.908E-3"/>
  </r>
  <r>
    <x v="184"/>
    <x v="3"/>
    <n v="861.39"/>
    <n v="4"/>
    <n v="349429.29"/>
    <n v="278147.43"/>
    <n v="702934.73"/>
    <n v="1.3730000000000001E-3"/>
  </r>
  <r>
    <x v="185"/>
    <x v="1"/>
    <n v="849.71"/>
    <n v="4"/>
    <n v="408723.12"/>
    <n v="265105.28000000003"/>
    <n v="823106.51"/>
    <n v="1.261E-3"/>
  </r>
  <r>
    <x v="186"/>
    <x v="0"/>
    <n v="1297.8499999999999"/>
    <n v="2"/>
    <n v="577197.37"/>
    <n v="199966.95"/>
    <n v="1106580.71"/>
    <n v="1.67E-3"/>
  </r>
  <r>
    <x v="187"/>
    <x v="2"/>
    <n v="763.54"/>
    <n v="2"/>
    <n v="294445.53000000003"/>
    <n v="235709.26"/>
    <n v="666106.28"/>
    <n v="1.4400000000000001E-3"/>
  </r>
  <r>
    <x v="188"/>
    <x v="2"/>
    <n v="996.17"/>
    <n v="2"/>
    <n v="425585.01"/>
    <n v="143885.01"/>
    <n v="1033204.71"/>
    <n v="1.7489999999999999E-3"/>
  </r>
  <r>
    <x v="189"/>
    <x v="2"/>
    <n v="1175.9100000000001"/>
    <n v="1"/>
    <n v="582559.43000000005"/>
    <n v="108720.01"/>
    <n v="1249632.6000000001"/>
    <n v="1.701E-3"/>
  </r>
  <r>
    <x v="190"/>
    <x v="3"/>
    <n v="1066.1600000000001"/>
    <n v="0"/>
    <n v="528252.69999999995"/>
    <n v="118068.43"/>
    <n v="953593.3"/>
    <n v="1.65E-3"/>
  </r>
  <r>
    <x v="191"/>
    <x v="2"/>
    <n v="893.79"/>
    <n v="0"/>
    <n v="335585"/>
    <n v="127966.09"/>
    <n v="835514.32"/>
    <n v="1.928E-3"/>
  </r>
  <r>
    <x v="192"/>
    <x v="3"/>
    <n v="861.11"/>
    <n v="2"/>
    <n v="322965.63"/>
    <n v="115142.88"/>
    <n v="701521.24"/>
    <n v="1.9659999999999999E-3"/>
  </r>
  <r>
    <x v="193"/>
    <x v="2"/>
    <n v="1185.05"/>
    <n v="5"/>
    <n v="569110.68999999994"/>
    <n v="180876.18"/>
    <n v="1001094.7"/>
    <n v="1.58E-3"/>
  </r>
  <r>
    <x v="194"/>
    <x v="1"/>
    <n v="1089.26"/>
    <n v="2"/>
    <n v="401192.35"/>
    <n v="157829.85"/>
    <n v="1278300.8600000001"/>
    <n v="1.949E-3"/>
  </r>
  <r>
    <x v="195"/>
    <x v="3"/>
    <n v="894.42"/>
    <n v="2"/>
    <n v="332947.93"/>
    <n v="237994.52"/>
    <n v="1060820.6299999999"/>
    <n v="1.567E-3"/>
  </r>
  <r>
    <x v="196"/>
    <x v="2"/>
    <n v="1137.45"/>
    <n v="2"/>
    <n v="511885.83"/>
    <n v="110947.69"/>
    <n v="923596.69"/>
    <n v="1.8259999999999999E-3"/>
  </r>
  <r>
    <x v="197"/>
    <x v="0"/>
    <n v="1251.97"/>
    <n v="2"/>
    <n v="564658.56000000006"/>
    <n v="235486.81"/>
    <n v="1048603.0900000001"/>
    <n v="1.565E-3"/>
  </r>
  <r>
    <x v="198"/>
    <x v="3"/>
    <n v="806.43"/>
    <n v="2"/>
    <n v="383634.91"/>
    <n v="231692.13"/>
    <n v="865545.68"/>
    <n v="1.3110000000000001E-3"/>
  </r>
  <r>
    <x v="199"/>
    <x v="0"/>
    <n v="1487.1"/>
    <n v="4"/>
    <n v="728149.37"/>
    <n v="233429.01"/>
    <n v="1592102.26"/>
    <n v="1.547E-3"/>
  </r>
  <r>
    <x v="200"/>
    <x v="0"/>
    <n v="1295.81"/>
    <n v="2"/>
    <n v="581399.67000000004"/>
    <n v="239912.06"/>
    <n v="1061637.07"/>
    <n v="1.578E-3"/>
  </r>
  <r>
    <x v="201"/>
    <x v="0"/>
    <n v="1028.55"/>
    <n v="5"/>
    <n v="495531.72"/>
    <n v="210621.05"/>
    <n v="957387.3"/>
    <n v="1.457E-3"/>
  </r>
  <r>
    <x v="202"/>
    <x v="0"/>
    <n v="1357.04"/>
    <n v="4"/>
    <n v="585797.17000000004"/>
    <n v="130863.8"/>
    <n v="1261820.54"/>
    <n v="1.8940000000000001E-3"/>
  </r>
  <r>
    <x v="203"/>
    <x v="2"/>
    <n v="1085.49"/>
    <n v="2"/>
    <n v="443188.93"/>
    <n v="157304.04"/>
    <n v="971534.99"/>
    <n v="1.8079999999999999E-3"/>
  </r>
  <r>
    <x v="204"/>
    <x v="2"/>
    <n v="806.03"/>
    <n v="0"/>
    <n v="355069.36"/>
    <n v="150231.92000000001"/>
    <n v="844553.24"/>
    <n v="1.5950000000000001E-3"/>
  </r>
  <r>
    <x v="205"/>
    <x v="3"/>
    <n v="809.85"/>
    <n v="3"/>
    <n v="341658.96"/>
    <n v="113846.31"/>
    <n v="758427.48"/>
    <n v="1.7780000000000001E-3"/>
  </r>
  <r>
    <x v="206"/>
    <x v="3"/>
    <n v="691.56"/>
    <n v="4"/>
    <n v="316541.67"/>
    <n v="273328.55"/>
    <n v="558294.9"/>
    <n v="1.1720000000000001E-3"/>
  </r>
  <r>
    <x v="207"/>
    <x v="3"/>
    <n v="653.19000000000005"/>
    <n v="1"/>
    <n v="292055.19"/>
    <n v="204704.58"/>
    <n v="586168.25"/>
    <n v="1.315E-3"/>
  </r>
  <r>
    <x v="208"/>
    <x v="2"/>
    <n v="971.67"/>
    <n v="0"/>
    <n v="410898.65"/>
    <n v="88516.49"/>
    <n v="888052.87"/>
    <n v="1.946E-3"/>
  </r>
  <r>
    <x v="209"/>
    <x v="3"/>
    <n v="982.96"/>
    <n v="2"/>
    <n v="389936.85"/>
    <n v="181550.07"/>
    <n v="1067948.06"/>
    <n v="1.72E-3"/>
  </r>
  <r>
    <x v="210"/>
    <x v="0"/>
    <n v="1109.5"/>
    <n v="0"/>
    <n v="418473.33"/>
    <n v="152167.67999999999"/>
    <n v="968123.62"/>
    <n v="1.944E-3"/>
  </r>
  <r>
    <x v="211"/>
    <x v="2"/>
    <n v="761.98"/>
    <n v="2"/>
    <n v="331534.32"/>
    <n v="128484.42"/>
    <n v="903074.33"/>
    <n v="1.6559999999999999E-3"/>
  </r>
  <r>
    <x v="212"/>
    <x v="3"/>
    <n v="1109.6099999999999"/>
    <n v="1"/>
    <n v="493747.15"/>
    <n v="212710.5"/>
    <n v="1154712.0900000001"/>
    <n v="1.5709999999999999E-3"/>
  </r>
  <r>
    <x v="213"/>
    <x v="0"/>
    <n v="1188.73"/>
    <n v="3"/>
    <n v="524998.5"/>
    <n v="171654.27"/>
    <n v="1350329.48"/>
    <n v="1.7060000000000001E-3"/>
  </r>
  <r>
    <x v="214"/>
    <x v="3"/>
    <n v="858.7"/>
    <n v="2"/>
    <n v="406502.56"/>
    <n v="153560.74"/>
    <n v="916251.66"/>
    <n v="1.5330000000000001E-3"/>
  </r>
  <r>
    <x v="215"/>
    <x v="1"/>
    <n v="1212.71"/>
    <n v="0"/>
    <n v="537930.97"/>
    <n v="117765.15"/>
    <n v="1254718.6499999999"/>
    <n v="1.8489999999999999E-3"/>
  </r>
  <r>
    <x v="216"/>
    <x v="3"/>
    <n v="978.65"/>
    <n v="2"/>
    <n v="345999.15"/>
    <n v="186295.73"/>
    <n v="1020577.63"/>
    <n v="1.8389999999999999E-3"/>
  </r>
  <r>
    <x v="217"/>
    <x v="1"/>
    <n v="989.76"/>
    <n v="1"/>
    <n v="404452.87"/>
    <n v="159171.45000000001"/>
    <n v="988483.42"/>
    <n v="1.756E-3"/>
  </r>
  <r>
    <x v="218"/>
    <x v="3"/>
    <n v="779.45"/>
    <n v="4"/>
    <n v="284979.31"/>
    <n v="238650.82"/>
    <n v="803888.25"/>
    <n v="1.4890000000000001E-3"/>
  </r>
  <r>
    <x v="219"/>
    <x v="3"/>
    <n v="1145.8699999999999"/>
    <n v="1"/>
    <n v="415776.58"/>
    <n v="204128.63"/>
    <n v="1004635.83"/>
    <n v="1.848E-3"/>
  </r>
  <r>
    <x v="220"/>
    <x v="2"/>
    <n v="834.88"/>
    <n v="1"/>
    <n v="357212.23"/>
    <n v="80141.88"/>
    <n v="935188.14"/>
    <n v="1.9090000000000001E-3"/>
  </r>
  <r>
    <x v="221"/>
    <x v="2"/>
    <n v="893.31"/>
    <n v="1"/>
    <n v="430583.71"/>
    <n v="167631.60999999999"/>
    <n v="905081.75"/>
    <n v="1.493E-3"/>
  </r>
  <r>
    <x v="222"/>
    <x v="1"/>
    <n v="924.11"/>
    <n v="5"/>
    <n v="331775.05"/>
    <n v="234344.52"/>
    <n v="1093267.8600000001"/>
    <n v="1.632E-3"/>
  </r>
  <r>
    <x v="223"/>
    <x v="2"/>
    <n v="814.98"/>
    <n v="1"/>
    <n v="309806.46000000002"/>
    <n v="150374.15"/>
    <n v="683499.57"/>
    <n v="1.771E-3"/>
  </r>
  <r>
    <x v="224"/>
    <x v="0"/>
    <n v="1437.52"/>
    <n v="4"/>
    <n v="589235.59"/>
    <n v="152862.39999999999"/>
    <n v="1720701.66"/>
    <n v="1.9369999999999999E-3"/>
  </r>
  <r>
    <x v="225"/>
    <x v="0"/>
    <n v="1153.98"/>
    <n v="5"/>
    <n v="534629.41"/>
    <n v="169157.02"/>
    <n v="1304493.53"/>
    <n v="1.64E-3"/>
  </r>
  <r>
    <x v="226"/>
    <x v="1"/>
    <n v="1206.22"/>
    <n v="0"/>
    <n v="477021.46"/>
    <n v="89466.89"/>
    <n v="1138734"/>
    <n v="2.1289999999999998E-3"/>
  </r>
  <r>
    <x v="227"/>
    <x v="0"/>
    <n v="1343.51"/>
    <n v="0"/>
    <n v="659048.05000000005"/>
    <n v="133070.34"/>
    <n v="1238993.7"/>
    <n v="1.696E-3"/>
  </r>
  <r>
    <x v="228"/>
    <x v="0"/>
    <n v="1034.5"/>
    <n v="5"/>
    <n v="394428.72"/>
    <n v="289589.28000000003"/>
    <n v="875748.19"/>
    <n v="1.5120000000000001E-3"/>
  </r>
  <r>
    <x v="229"/>
    <x v="3"/>
    <n v="577.07000000000005"/>
    <n v="6"/>
    <n v="208977.61"/>
    <n v="230447.03"/>
    <n v="501707.2"/>
    <n v="1.3129999999999999E-3"/>
  </r>
  <r>
    <x v="230"/>
    <x v="2"/>
    <n v="844.51"/>
    <n v="3"/>
    <n v="404777.21"/>
    <n v="248413.58"/>
    <n v="840143.06"/>
    <n v="1.2930000000000001E-3"/>
  </r>
  <r>
    <x v="231"/>
    <x v="0"/>
    <n v="1396.96"/>
    <n v="2"/>
    <n v="594245.81999999995"/>
    <n v="149799.45000000001"/>
    <n v="1199359.68"/>
    <n v="1.8779999999999999E-3"/>
  </r>
  <r>
    <x v="232"/>
    <x v="0"/>
    <n v="1108.57"/>
    <n v="0"/>
    <n v="410476.87"/>
    <n v="194467.27"/>
    <n v="1130536.02"/>
    <n v="1.833E-3"/>
  </r>
  <r>
    <x v="233"/>
    <x v="2"/>
    <n v="971.95"/>
    <n v="2"/>
    <n v="413976.02"/>
    <n v="155926.75"/>
    <n v="818643.94"/>
    <n v="1.7049999999999999E-3"/>
  </r>
  <r>
    <x v="234"/>
    <x v="0"/>
    <n v="1018.55"/>
    <n v="2"/>
    <n v="365864.14"/>
    <n v="207114.23999999999"/>
    <n v="1002167.74"/>
    <n v="1.7780000000000001E-3"/>
  </r>
  <r>
    <x v="235"/>
    <x v="0"/>
    <n v="1289.99"/>
    <n v="0"/>
    <n v="644001.30000000005"/>
    <n v="58667.08"/>
    <n v="1390626.65"/>
    <n v="1.836E-3"/>
  </r>
  <r>
    <x v="236"/>
    <x v="2"/>
    <n v="907.99"/>
    <n v="1"/>
    <n v="387178.86"/>
    <n v="219504.53"/>
    <n v="1022022.3"/>
    <n v="1.4970000000000001E-3"/>
  </r>
  <r>
    <x v="237"/>
    <x v="3"/>
    <n v="854.63"/>
    <n v="2"/>
    <n v="366684.12"/>
    <n v="153912.51"/>
    <n v="728387.22"/>
    <n v="1.642E-3"/>
  </r>
  <r>
    <x v="238"/>
    <x v="0"/>
    <n v="1180.72"/>
    <n v="1"/>
    <n v="486599.29"/>
    <n v="194130.68"/>
    <n v="1291057.51"/>
    <n v="1.7340000000000001E-3"/>
  </r>
  <r>
    <x v="239"/>
    <x v="2"/>
    <n v="1148.4100000000001"/>
    <n v="1"/>
    <n v="473628.92"/>
    <n v="142201.62"/>
    <n v="927540.54"/>
    <n v="1.8649999999999999E-3"/>
  </r>
  <r>
    <x v="240"/>
    <x v="0"/>
    <n v="1329.47"/>
    <n v="1"/>
    <n v="508228.27"/>
    <n v="71818.12"/>
    <n v="1191839.5900000001"/>
    <n v="2.2920000000000002E-3"/>
  </r>
  <r>
    <x v="241"/>
    <x v="0"/>
    <n v="1080.53"/>
    <n v="4"/>
    <n v="467000.22"/>
    <n v="198156.6"/>
    <n v="1229369.78"/>
    <n v="1.624E-3"/>
  </r>
  <r>
    <x v="242"/>
    <x v="3"/>
    <n v="895.9"/>
    <n v="1"/>
    <n v="412656.72"/>
    <n v="141402.72"/>
    <n v="851427.43"/>
    <n v="1.6169999999999999E-3"/>
  </r>
  <r>
    <x v="243"/>
    <x v="1"/>
    <n v="960.01"/>
    <n v="3"/>
    <n v="473573.03"/>
    <n v="228035.51"/>
    <n v="889125.33"/>
    <n v="1.3680000000000001E-3"/>
  </r>
  <r>
    <x v="244"/>
    <x v="1"/>
    <n v="1009.16"/>
    <n v="2"/>
    <n v="489708.19"/>
    <n v="159221.62"/>
    <n v="1064540.8400000001"/>
    <n v="1.555E-3"/>
  </r>
  <r>
    <x v="245"/>
    <x v="2"/>
    <n v="1273.9000000000001"/>
    <n v="4"/>
    <n v="544925.62"/>
    <n v="152525.35"/>
    <n v="1394888.35"/>
    <n v="1.8270000000000001E-3"/>
  </r>
  <r>
    <x v="246"/>
    <x v="1"/>
    <n v="1402.01"/>
    <n v="0"/>
    <n v="508534.69"/>
    <n v="157448.51"/>
    <n v="1162031.6000000001"/>
    <n v="2.1050000000000001E-3"/>
  </r>
  <r>
    <x v="247"/>
    <x v="2"/>
    <n v="1020.48"/>
    <n v="0"/>
    <n v="359021.57"/>
    <n v="193475.21"/>
    <n v="1117429.3400000001"/>
    <n v="1.8469999999999999E-3"/>
  </r>
  <r>
    <x v="248"/>
    <x v="1"/>
    <n v="897.93"/>
    <n v="3"/>
    <n v="337726.6"/>
    <n v="124759.35"/>
    <n v="955507.37"/>
    <n v="1.9419999999999999E-3"/>
  </r>
  <r>
    <x v="249"/>
    <x v="3"/>
    <n v="754.26"/>
    <n v="2"/>
    <n v="273287.06"/>
    <n v="235179.01"/>
    <n v="692542.94"/>
    <n v="1.4829999999999999E-3"/>
  </r>
  <r>
    <x v="250"/>
    <x v="2"/>
    <n v="1091.07"/>
    <n v="1"/>
    <n v="401740.54"/>
    <n v="162251.95000000001"/>
    <n v="1210927.5"/>
    <n v="1.9350000000000001E-3"/>
  </r>
  <r>
    <x v="251"/>
    <x v="1"/>
    <n v="1296.67"/>
    <n v="2"/>
    <n v="642207.94999999995"/>
    <n v="209807.13"/>
    <n v="1189216.94"/>
    <n v="1.5219999999999999E-3"/>
  </r>
  <r>
    <x v="252"/>
    <x v="3"/>
    <n v="908.55"/>
    <n v="4"/>
    <n v="364093.23"/>
    <n v="269212.55"/>
    <n v="808471.56"/>
    <n v="1.4350000000000001E-3"/>
  </r>
  <r>
    <x v="253"/>
    <x v="1"/>
    <n v="1140.29"/>
    <n v="2"/>
    <n v="503940.32"/>
    <n v="231461.38"/>
    <n v="1022014.76"/>
    <n v="1.5510000000000001E-3"/>
  </r>
  <r>
    <x v="254"/>
    <x v="0"/>
    <n v="1166.81"/>
    <n v="3"/>
    <n v="559142.71"/>
    <n v="236977.15"/>
    <n v="1362335.35"/>
    <n v="1.4660000000000001E-3"/>
  </r>
  <r>
    <x v="255"/>
    <x v="0"/>
    <n v="1158.48"/>
    <n v="2"/>
    <n v="551782.81999999995"/>
    <n v="199273.60000000001"/>
    <n v="1286581.32"/>
    <n v="1.542E-3"/>
  </r>
  <r>
    <x v="256"/>
    <x v="3"/>
    <n v="744.18"/>
    <n v="3"/>
    <n v="278860.68"/>
    <n v="129759.32"/>
    <n v="811447.59"/>
    <n v="1.8209999999999999E-3"/>
  </r>
  <r>
    <x v="257"/>
    <x v="0"/>
    <n v="1275.44"/>
    <n v="2"/>
    <n v="607241.59"/>
    <n v="199920.23"/>
    <n v="1296983.3899999999"/>
    <n v="1.58E-3"/>
  </r>
  <r>
    <x v="258"/>
    <x v="0"/>
    <n v="1236.1099999999999"/>
    <n v="2"/>
    <n v="594568.41"/>
    <n v="185443.7"/>
    <n v="1365223.27"/>
    <n v="1.585E-3"/>
  </r>
  <r>
    <x v="259"/>
    <x v="2"/>
    <n v="1390.25"/>
    <n v="1"/>
    <n v="488534.36"/>
    <n v="107001.83"/>
    <n v="1516188.05"/>
    <n v="2.3340000000000001E-3"/>
  </r>
  <r>
    <x v="260"/>
    <x v="1"/>
    <n v="1293.2"/>
    <n v="1"/>
    <n v="594819.96"/>
    <n v="162397.82"/>
    <n v="1131819.1299999999"/>
    <n v="1.7080000000000001E-3"/>
  </r>
  <r>
    <x v="261"/>
    <x v="2"/>
    <n v="936.58"/>
    <n v="3"/>
    <n v="434711.48"/>
    <n v="115296.7"/>
    <n v="1028637.77"/>
    <n v="1.7030000000000001E-3"/>
  </r>
  <r>
    <x v="262"/>
    <x v="1"/>
    <n v="882.52"/>
    <n v="1"/>
    <n v="424932"/>
    <n v="219450.15"/>
    <n v="836033.65"/>
    <n v="1.3699999999999999E-3"/>
  </r>
  <r>
    <x v="263"/>
    <x v="0"/>
    <n v="1034.05"/>
    <n v="4"/>
    <n v="425919.8"/>
    <n v="234342.72"/>
    <n v="828574.16"/>
    <n v="1.5659999999999999E-3"/>
  </r>
  <r>
    <x v="264"/>
    <x v="2"/>
    <n v="771.15"/>
    <n v="1"/>
    <n v="337942.01"/>
    <n v="142145.93"/>
    <n v="815053.37"/>
    <n v="1.606E-3"/>
  </r>
  <r>
    <x v="265"/>
    <x v="1"/>
    <n v="1289.3900000000001"/>
    <n v="0"/>
    <n v="563459.25"/>
    <n v="134222.69"/>
    <n v="1320673.3700000001"/>
    <n v="1.848E-3"/>
  </r>
  <r>
    <x v="266"/>
    <x v="1"/>
    <n v="1344.64"/>
    <n v="3"/>
    <n v="486166.12"/>
    <n v="118782.64"/>
    <n v="1255483.5"/>
    <n v="2.2230000000000001E-3"/>
  </r>
  <r>
    <x v="267"/>
    <x v="2"/>
    <n v="1143.47"/>
    <n v="4"/>
    <n v="425504.16"/>
    <n v="179228.91"/>
    <n v="1113287.4099999999"/>
    <n v="1.8910000000000001E-3"/>
  </r>
  <r>
    <x v="268"/>
    <x v="3"/>
    <n v="887.6"/>
    <n v="5"/>
    <n v="395359.72"/>
    <n v="267847.74"/>
    <n v="752092.3"/>
    <n v="1.338E-3"/>
  </r>
  <r>
    <x v="269"/>
    <x v="1"/>
    <n v="1081.74"/>
    <n v="2"/>
    <n v="471400.64"/>
    <n v="178165.4"/>
    <n v="945212.28"/>
    <n v="1.665E-3"/>
  </r>
  <r>
    <x v="270"/>
    <x v="0"/>
    <n v="988.38"/>
    <n v="0"/>
    <n v="349518.3"/>
    <n v="174754.56"/>
    <n v="898659.75"/>
    <n v="1.885E-3"/>
  </r>
  <r>
    <x v="271"/>
    <x v="1"/>
    <n v="923.83"/>
    <n v="3"/>
    <n v="382879.74"/>
    <n v="240909.54"/>
    <n v="1050184.74"/>
    <n v="1.4809999999999999E-3"/>
  </r>
  <r>
    <x v="272"/>
    <x v="0"/>
    <n v="1277.04"/>
    <n v="2"/>
    <n v="462403.71"/>
    <n v="199190.9"/>
    <n v="1275232.32"/>
    <n v="1.9300000000000001E-3"/>
  </r>
  <r>
    <x v="273"/>
    <x v="2"/>
    <n v="920.09"/>
    <n v="3"/>
    <n v="406252.96"/>
    <n v="130303.11"/>
    <n v="1012610.45"/>
    <n v="1.7149999999999999E-3"/>
  </r>
  <r>
    <x v="274"/>
    <x v="1"/>
    <n v="1153.02"/>
    <n v="0"/>
    <n v="413425.66"/>
    <n v="92328.06"/>
    <n v="1043118.96"/>
    <n v="2.2799999999999999E-3"/>
  </r>
  <r>
    <x v="275"/>
    <x v="0"/>
    <n v="1218.23"/>
    <n v="2"/>
    <n v="476073.44"/>
    <n v="203909.74"/>
    <n v="1193734.46"/>
    <n v="1.792E-3"/>
  </r>
  <r>
    <x v="276"/>
    <x v="0"/>
    <n v="1121.0899999999999"/>
    <n v="0"/>
    <n v="544810.37"/>
    <n v="70886.81"/>
    <n v="1135626.8700000001"/>
    <n v="1.8209999999999999E-3"/>
  </r>
  <r>
    <x v="277"/>
    <x v="2"/>
    <n v="997.9"/>
    <n v="2"/>
    <n v="352530.6"/>
    <n v="189568.45"/>
    <n v="1182865.05"/>
    <n v="1.841E-3"/>
  </r>
  <r>
    <x v="278"/>
    <x v="1"/>
    <n v="1205.3599999999999"/>
    <n v="0"/>
    <n v="497595.91"/>
    <n v="89023.67"/>
    <n v="1316650.02"/>
    <n v="2.055E-3"/>
  </r>
  <r>
    <x v="279"/>
    <x v="1"/>
    <n v="1114.51"/>
    <n v="3"/>
    <n v="484589.51"/>
    <n v="179589.87"/>
    <n v="1324934.82"/>
    <n v="1.678E-3"/>
  </r>
  <r>
    <x v="280"/>
    <x v="2"/>
    <n v="757.73"/>
    <n v="0"/>
    <n v="282396.21999999997"/>
    <n v="83797.539999999994"/>
    <n v="682250.19"/>
    <n v="2.0690000000000001E-3"/>
  </r>
  <r>
    <x v="281"/>
    <x v="1"/>
    <n v="1274.71"/>
    <n v="3"/>
    <n v="610613.23"/>
    <n v="218422.15"/>
    <n v="1054271.76"/>
    <n v="1.5380000000000001E-3"/>
  </r>
  <r>
    <x v="282"/>
    <x v="2"/>
    <n v="1056.92"/>
    <n v="0"/>
    <n v="442581.03"/>
    <n v="122704.44"/>
    <n v="915622.17"/>
    <n v="1.8699999999999999E-3"/>
  </r>
  <r>
    <x v="283"/>
    <x v="1"/>
    <n v="1371.73"/>
    <n v="4"/>
    <n v="614047.56000000006"/>
    <n v="211814.78"/>
    <n v="1131549.23"/>
    <n v="1.6609999999999999E-3"/>
  </r>
  <r>
    <x v="284"/>
    <x v="3"/>
    <n v="1109.58"/>
    <n v="1"/>
    <n v="519220.64"/>
    <n v="100204.57"/>
    <n v="1002451.78"/>
    <n v="1.7910000000000001E-3"/>
  </r>
  <r>
    <x v="285"/>
    <x v="1"/>
    <n v="1108.55"/>
    <n v="1"/>
    <n v="513827.95"/>
    <n v="147907.88"/>
    <n v="977690.19"/>
    <n v="1.6750000000000001E-3"/>
  </r>
  <r>
    <x v="286"/>
    <x v="0"/>
    <n v="1145.93"/>
    <n v="3"/>
    <n v="412283.12"/>
    <n v="179589.71"/>
    <n v="1333503.9099999999"/>
    <n v="1.936E-3"/>
  </r>
  <r>
    <x v="287"/>
    <x v="0"/>
    <n v="1276.71"/>
    <n v="2"/>
    <n v="572627.19999999995"/>
    <n v="213315.47"/>
    <n v="1215644.6299999999"/>
    <n v="1.624E-3"/>
  </r>
  <r>
    <x v="288"/>
    <x v="3"/>
    <n v="916.99"/>
    <n v="2"/>
    <n v="408232.61"/>
    <n v="209687.12"/>
    <n v="878832.92"/>
    <n v="1.4840000000000001E-3"/>
  </r>
  <r>
    <x v="289"/>
    <x v="1"/>
    <n v="884.26"/>
    <n v="2"/>
    <n v="401793.59"/>
    <n v="208989.2"/>
    <n v="819446.3"/>
    <n v="1.4480000000000001E-3"/>
  </r>
  <r>
    <x v="290"/>
    <x v="0"/>
    <n v="1149.78"/>
    <n v="2"/>
    <n v="428657.35"/>
    <n v="156048.51"/>
    <n v="1202810.82"/>
    <n v="1.9659999999999999E-3"/>
  </r>
  <r>
    <x v="291"/>
    <x v="0"/>
    <n v="1139.45"/>
    <n v="0"/>
    <n v="549629.22"/>
    <n v="170540.53"/>
    <n v="1141825.8799999999"/>
    <n v="1.5820000000000001E-3"/>
  </r>
  <r>
    <x v="292"/>
    <x v="1"/>
    <n v="1088.05"/>
    <n v="3"/>
    <n v="524756.55000000005"/>
    <n v="174123.45"/>
    <n v="941050.5"/>
    <n v="1.557E-3"/>
  </r>
  <r>
    <x v="293"/>
    <x v="2"/>
    <n v="1067.8599999999999"/>
    <n v="0"/>
    <n v="463410.27"/>
    <n v="129109.94"/>
    <n v="1161550.98"/>
    <n v="1.802E-3"/>
  </r>
  <r>
    <x v="294"/>
    <x v="1"/>
    <n v="979.19"/>
    <n v="4"/>
    <n v="411922.71"/>
    <n v="253245.53"/>
    <n v="963239.31"/>
    <n v="1.472E-3"/>
  </r>
  <r>
    <x v="295"/>
    <x v="2"/>
    <n v="1089.47"/>
    <n v="3"/>
    <n v="409709.33"/>
    <n v="216802.1"/>
    <n v="1231523.27"/>
    <n v="1.7390000000000001E-3"/>
  </r>
  <r>
    <x v="296"/>
    <x v="3"/>
    <n v="864.16"/>
    <n v="1"/>
    <n v="360832.37"/>
    <n v="182323.95"/>
    <n v="916406.48"/>
    <n v="1.591E-3"/>
  </r>
  <r>
    <x v="297"/>
    <x v="3"/>
    <n v="844.98"/>
    <n v="3"/>
    <n v="419839.79"/>
    <n v="205121.32"/>
    <n v="718657.36"/>
    <n v="1.3519999999999999E-3"/>
  </r>
  <r>
    <x v="298"/>
    <x v="0"/>
    <n v="1023.14"/>
    <n v="1"/>
    <n v="384939.75"/>
    <n v="198360.59"/>
    <n v="911490.19"/>
    <n v="1.7539999999999999E-3"/>
  </r>
  <r>
    <x v="299"/>
    <x v="0"/>
    <n v="1378.15"/>
    <n v="3"/>
    <n v="588330.59"/>
    <n v="155796.6"/>
    <n v="1219744.03"/>
    <n v="1.8519999999999999E-3"/>
  </r>
  <r>
    <x v="300"/>
    <x v="0"/>
    <n v="1277.0899999999999"/>
    <n v="4"/>
    <n v="620765.1"/>
    <n v="230609.85"/>
    <n v="1307961.3400000001"/>
    <n v="1.5E-3"/>
  </r>
  <r>
    <x v="301"/>
    <x v="2"/>
    <n v="1026.94"/>
    <n v="0"/>
    <n v="428292.74"/>
    <n v="119053.74"/>
    <n v="1176690.8500000001"/>
    <n v="1.8760000000000001E-3"/>
  </r>
  <r>
    <x v="302"/>
    <x v="0"/>
    <n v="874.1"/>
    <n v="1"/>
    <n v="361337.26"/>
    <n v="76303.7"/>
    <n v="957979.6"/>
    <n v="1.9970000000000001E-3"/>
  </r>
  <r>
    <x v="303"/>
    <x v="1"/>
    <n v="1227.1099999999999"/>
    <n v="3"/>
    <n v="597132.36"/>
    <n v="223094.29"/>
    <n v="1376775.31"/>
    <n v="1.4959999999999999E-3"/>
  </r>
  <r>
    <x v="304"/>
    <x v="2"/>
    <n v="859.68"/>
    <n v="3"/>
    <n v="391631.63"/>
    <n v="191104.77"/>
    <n v="720943.02"/>
    <n v="1.475E-3"/>
  </r>
  <r>
    <x v="305"/>
    <x v="3"/>
    <n v="1062.9000000000001"/>
    <n v="1"/>
    <n v="446751.89"/>
    <n v="115189.79"/>
    <n v="1104714.8799999999"/>
    <n v="1.8910000000000001E-3"/>
  </r>
  <r>
    <x v="306"/>
    <x v="2"/>
    <n v="841.95"/>
    <n v="1"/>
    <n v="408710.22"/>
    <n v="197839.58"/>
    <n v="898460.74"/>
    <n v="1.3879999999999999E-3"/>
  </r>
  <r>
    <x v="307"/>
    <x v="0"/>
    <n v="1039.83"/>
    <n v="2"/>
    <n v="376257.52"/>
    <n v="125926.53"/>
    <n v="1162354.04"/>
    <n v="2.0709999999999999E-3"/>
  </r>
  <r>
    <x v="308"/>
    <x v="1"/>
    <n v="1112.47"/>
    <n v="3"/>
    <n v="528095.43999999994"/>
    <n v="199846.78"/>
    <n v="941118.43"/>
    <n v="1.5280000000000001E-3"/>
  </r>
  <r>
    <x v="309"/>
    <x v="1"/>
    <n v="1029.93"/>
    <n v="0"/>
    <n v="501005.48"/>
    <n v="150380.04"/>
    <n v="1165592.02"/>
    <n v="1.5809999999999999E-3"/>
  </r>
  <r>
    <x v="310"/>
    <x v="0"/>
    <n v="1228.44"/>
    <n v="2"/>
    <n v="510034.11"/>
    <n v="206081.95"/>
    <n v="1278519.8600000001"/>
    <n v="1.7149999999999999E-3"/>
  </r>
  <r>
    <x v="311"/>
    <x v="1"/>
    <n v="1250.1600000000001"/>
    <n v="4"/>
    <n v="569315.29"/>
    <n v="165615.01999999999"/>
    <n v="1256339.58"/>
    <n v="1.701E-3"/>
  </r>
  <r>
    <x v="312"/>
    <x v="2"/>
    <n v="963.09"/>
    <n v="4"/>
    <n v="410218.73"/>
    <n v="225115.6"/>
    <n v="797798.16"/>
    <n v="1.516E-3"/>
  </r>
  <r>
    <x v="313"/>
    <x v="2"/>
    <n v="873.51"/>
    <n v="1"/>
    <n v="367638.92"/>
    <n v="76847.31"/>
    <n v="747735.56"/>
    <n v="1.9650000000000002E-3"/>
  </r>
  <r>
    <x v="314"/>
    <x v="0"/>
    <n v="1166.97"/>
    <n v="1"/>
    <n v="457572.15"/>
    <n v="101048.89"/>
    <n v="1174706.72"/>
    <n v="2.0890000000000001E-3"/>
  </r>
  <r>
    <x v="315"/>
    <x v="1"/>
    <n v="789.82"/>
    <n v="0"/>
    <n v="277345.61"/>
    <n v="82860.320000000007"/>
    <n v="643458.77"/>
    <n v="2.1930000000000001E-3"/>
  </r>
  <r>
    <x v="316"/>
    <x v="3"/>
    <n v="853.62"/>
    <n v="3"/>
    <n v="418070.87"/>
    <n v="169552.26"/>
    <n v="712632.51"/>
    <n v="1.4530000000000001E-3"/>
  </r>
  <r>
    <x v="317"/>
    <x v="2"/>
    <n v="887.18"/>
    <n v="1"/>
    <n v="356452.87"/>
    <n v="146111.79"/>
    <n v="1019977.12"/>
    <n v="1.7650000000000001E-3"/>
  </r>
  <r>
    <x v="318"/>
    <x v="2"/>
    <n v="1285.18"/>
    <n v="1"/>
    <n v="502774.37"/>
    <n v="129186.41"/>
    <n v="1244992.7"/>
    <n v="2.0339999999999998E-3"/>
  </r>
  <r>
    <x v="319"/>
    <x v="2"/>
    <n v="990.9"/>
    <n v="4"/>
    <n v="469259.5"/>
    <n v="273259.08"/>
    <n v="1118211.1399999999"/>
    <n v="1.335E-3"/>
  </r>
  <r>
    <x v="320"/>
    <x v="2"/>
    <n v="1021.73"/>
    <n v="1"/>
    <n v="416432.52"/>
    <n v="138435.48000000001"/>
    <n v="968213.16"/>
    <n v="1.841E-3"/>
  </r>
  <r>
    <x v="321"/>
    <x v="3"/>
    <n v="807.78"/>
    <n v="0"/>
    <n v="333487.33"/>
    <n v="162676.71"/>
    <n v="669170.80000000005"/>
    <n v="1.6280000000000001E-3"/>
  </r>
  <r>
    <x v="322"/>
    <x v="0"/>
    <n v="1166.27"/>
    <n v="4"/>
    <n v="409967.42"/>
    <n v="225414.41"/>
    <n v="1359073.54"/>
    <n v="1.836E-3"/>
  </r>
  <r>
    <x v="323"/>
    <x v="2"/>
    <n v="902.5"/>
    <n v="3"/>
    <n v="438044.43"/>
    <n v="119966.58"/>
    <n v="914761.87"/>
    <n v="1.6169999999999999E-3"/>
  </r>
  <r>
    <x v="324"/>
    <x v="1"/>
    <n v="845.44"/>
    <n v="2"/>
    <n v="311501.09000000003"/>
    <n v="173796.36"/>
    <n v="792398.64"/>
    <n v="1.7420000000000001E-3"/>
  </r>
  <r>
    <x v="325"/>
    <x v="3"/>
    <n v="803.16"/>
    <n v="4"/>
    <n v="362183.05"/>
    <n v="171307.18"/>
    <n v="740939.73"/>
    <n v="1.505E-3"/>
  </r>
  <r>
    <x v="326"/>
    <x v="2"/>
    <n v="960.13"/>
    <n v="5"/>
    <n v="419895.47"/>
    <n v="205675.86"/>
    <n v="998952.48"/>
    <n v="1.5349999999999999E-3"/>
  </r>
  <r>
    <x v="327"/>
    <x v="1"/>
    <n v="1315.01"/>
    <n v="3"/>
    <n v="545177.44999999995"/>
    <n v="131389.12"/>
    <n v="1520206.49"/>
    <n v="1.944E-3"/>
  </r>
  <r>
    <x v="328"/>
    <x v="2"/>
    <n v="855.34"/>
    <n v="0"/>
    <n v="382228.37"/>
    <n v="145535.35"/>
    <n v="800804.35"/>
    <n v="1.621E-3"/>
  </r>
  <r>
    <x v="329"/>
    <x v="0"/>
    <n v="1135.48"/>
    <n v="0"/>
    <n v="467185.37"/>
    <n v="96682.62"/>
    <n v="1215923.03"/>
    <n v="2.0140000000000002E-3"/>
  </r>
  <r>
    <x v="330"/>
    <x v="3"/>
    <n v="655.67"/>
    <n v="2"/>
    <n v="297175.02"/>
    <n v="111082.95"/>
    <n v="651887.13"/>
    <n v="1.606E-3"/>
  </r>
  <r>
    <x v="331"/>
    <x v="0"/>
    <n v="1390.87"/>
    <n v="0"/>
    <n v="592259.18000000005"/>
    <n v="194602.61"/>
    <n v="1326451.6100000001"/>
    <n v="1.768E-3"/>
  </r>
  <r>
    <x v="332"/>
    <x v="3"/>
    <n v="735.28"/>
    <n v="0"/>
    <n v="340751.47"/>
    <n v="118778.45"/>
    <n v="673292.69"/>
    <n v="1.6000000000000001E-3"/>
  </r>
  <r>
    <x v="333"/>
    <x v="2"/>
    <n v="945.73"/>
    <n v="1"/>
    <n v="466610.83"/>
    <n v="117095.01"/>
    <n v="1092658.04"/>
    <n v="1.6199999999999999E-3"/>
  </r>
  <r>
    <x v="334"/>
    <x v="2"/>
    <n v="1175.97"/>
    <n v="3"/>
    <n v="479591.53"/>
    <n v="161058.07"/>
    <n v="1195446.32"/>
    <n v="1.836E-3"/>
  </r>
  <r>
    <x v="335"/>
    <x v="3"/>
    <n v="955.45"/>
    <n v="1"/>
    <n v="412041.7"/>
    <n v="184285.27"/>
    <n v="1082960.18"/>
    <n v="1.6019999999999999E-3"/>
  </r>
  <r>
    <x v="336"/>
    <x v="1"/>
    <n v="829.84"/>
    <n v="1"/>
    <n v="297620.21999999997"/>
    <n v="121367.2"/>
    <n v="753578.15"/>
    <n v="1.9810000000000001E-3"/>
  </r>
  <r>
    <x v="337"/>
    <x v="1"/>
    <n v="1018.6"/>
    <n v="3"/>
    <n v="377777.47"/>
    <n v="176606.56"/>
    <n v="1070031.79"/>
    <n v="1.8370000000000001E-3"/>
  </r>
  <r>
    <x v="338"/>
    <x v="2"/>
    <n v="620.46"/>
    <n v="5"/>
    <n v="253934.79"/>
    <n v="155918.93"/>
    <n v="614387.81999999995"/>
    <n v="1.5139999999999999E-3"/>
  </r>
  <r>
    <x v="339"/>
    <x v="2"/>
    <n v="957.1"/>
    <n v="1"/>
    <n v="473385.49"/>
    <n v="206418.19"/>
    <n v="1042144.63"/>
    <n v="1.408E-3"/>
  </r>
  <r>
    <x v="340"/>
    <x v="0"/>
    <n v="1362.87"/>
    <n v="0"/>
    <n v="638607.85"/>
    <n v="68723.12"/>
    <n v="1523256.06"/>
    <n v="1.9269999999999999E-3"/>
  </r>
  <r>
    <x v="341"/>
    <x v="2"/>
    <n v="1014.7"/>
    <n v="3"/>
    <n v="425565.48"/>
    <n v="257148.11"/>
    <n v="1007962.9"/>
    <n v="1.4859999999999999E-3"/>
  </r>
  <r>
    <x v="342"/>
    <x v="3"/>
    <n v="938.29"/>
    <n v="1"/>
    <n v="357004.21"/>
    <n v="184269.73"/>
    <n v="895707.8"/>
    <n v="1.7329999999999999E-3"/>
  </r>
  <r>
    <x v="343"/>
    <x v="1"/>
    <n v="1256.8800000000001"/>
    <n v="3"/>
    <n v="624810.99"/>
    <n v="171137.63"/>
    <n v="1421545.89"/>
    <n v="1.5790000000000001E-3"/>
  </r>
  <r>
    <x v="344"/>
    <x v="1"/>
    <n v="1162.2"/>
    <n v="2"/>
    <n v="555643.47"/>
    <n v="155872.47"/>
    <n v="1323504.32"/>
    <n v="1.6329999999999999E-3"/>
  </r>
  <r>
    <x v="345"/>
    <x v="0"/>
    <n v="1423.79"/>
    <n v="1"/>
    <n v="687005.75"/>
    <n v="137247.85999999999"/>
    <n v="1429729.41"/>
    <n v="1.727E-3"/>
  </r>
  <r>
    <x v="346"/>
    <x v="1"/>
    <n v="1198.3900000000001"/>
    <n v="0"/>
    <n v="505151.11"/>
    <n v="153158.31"/>
    <n v="1305140.6000000001"/>
    <n v="1.82E-3"/>
  </r>
  <r>
    <x v="347"/>
    <x v="1"/>
    <n v="1129.21"/>
    <n v="1"/>
    <n v="445935.74"/>
    <n v="123807.33"/>
    <n v="1266719.8999999999"/>
    <n v="1.9819999999999998E-3"/>
  </r>
  <r>
    <x v="348"/>
    <x v="3"/>
    <n v="765.85"/>
    <n v="1"/>
    <n v="382673.42"/>
    <n v="171523.19"/>
    <n v="866470.47"/>
    <n v="1.382E-3"/>
  </r>
  <r>
    <x v="349"/>
    <x v="1"/>
    <n v="997.41"/>
    <n v="1"/>
    <n v="459485.46"/>
    <n v="195121.69"/>
    <n v="1093347.02"/>
    <n v="1.524E-3"/>
  </r>
  <r>
    <x v="350"/>
    <x v="0"/>
    <n v="1263.21"/>
    <n v="5"/>
    <n v="534518.67000000004"/>
    <n v="161647.4"/>
    <n v="1216490.06"/>
    <n v="1.815E-3"/>
  </r>
  <r>
    <x v="351"/>
    <x v="0"/>
    <n v="1110.92"/>
    <n v="1"/>
    <n v="446950.36"/>
    <n v="86649.71"/>
    <n v="1247894.33"/>
    <n v="2.0820000000000001E-3"/>
  </r>
  <r>
    <x v="352"/>
    <x v="1"/>
    <n v="1104.53"/>
    <n v="1"/>
    <n v="469528.09"/>
    <n v="189177.33"/>
    <n v="1196021.79"/>
    <n v="1.6770000000000001E-3"/>
  </r>
  <r>
    <x v="353"/>
    <x v="2"/>
    <n v="1091.29"/>
    <n v="0"/>
    <n v="393885.46"/>
    <n v="110430.99"/>
    <n v="1001932.05"/>
    <n v="2.1640000000000001E-3"/>
  </r>
  <r>
    <x v="354"/>
    <x v="1"/>
    <n v="984.63"/>
    <n v="4"/>
    <n v="414987.05"/>
    <n v="163904.35"/>
    <n v="1039955.34"/>
    <n v="1.701E-3"/>
  </r>
  <r>
    <x v="355"/>
    <x v="0"/>
    <n v="1059.01"/>
    <n v="4"/>
    <n v="511820.52"/>
    <n v="205462.59"/>
    <n v="1037558.79"/>
    <n v="1.4760000000000001E-3"/>
  </r>
  <r>
    <x v="356"/>
    <x v="0"/>
    <n v="1470.08"/>
    <n v="0"/>
    <n v="665051.79"/>
    <n v="86289.75"/>
    <n v="1595887.39"/>
    <n v="1.957E-3"/>
  </r>
  <r>
    <x v="357"/>
    <x v="3"/>
    <n v="1085.8399999999999"/>
    <n v="4"/>
    <n v="506330.19"/>
    <n v="170711.41"/>
    <n v="1084406.6499999999"/>
    <n v="1.604E-3"/>
  </r>
  <r>
    <x v="358"/>
    <x v="1"/>
    <n v="995.79"/>
    <n v="1"/>
    <n v="460351.92"/>
    <n v="117638.02"/>
    <n v="796688.07"/>
    <n v="1.7229999999999999E-3"/>
  </r>
  <r>
    <x v="359"/>
    <x v="1"/>
    <n v="1038.6099999999999"/>
    <n v="1"/>
    <n v="406537.44"/>
    <n v="176046.47"/>
    <n v="856930.08"/>
    <n v="1.7830000000000001E-3"/>
  </r>
  <r>
    <x v="360"/>
    <x v="3"/>
    <n v="1023.76"/>
    <n v="1"/>
    <n v="413636.88"/>
    <n v="110558.99"/>
    <n v="1164107.28"/>
    <n v="1.9530000000000001E-3"/>
  </r>
  <r>
    <x v="361"/>
    <x v="0"/>
    <n v="1069.93"/>
    <n v="3"/>
    <n v="520512.05"/>
    <n v="166597.71"/>
    <n v="1268543.1200000001"/>
    <n v="1.557E-3"/>
  </r>
  <r>
    <x v="362"/>
    <x v="3"/>
    <n v="939.8"/>
    <n v="2"/>
    <n v="428154.72"/>
    <n v="90654.49"/>
    <n v="814604.78"/>
    <n v="1.8109999999999999E-3"/>
  </r>
  <r>
    <x v="363"/>
    <x v="2"/>
    <n v="912.59"/>
    <n v="6"/>
    <n v="333828.36"/>
    <n v="287273.58"/>
    <n v="965205.64"/>
    <n v="1.469E-3"/>
  </r>
  <r>
    <x v="364"/>
    <x v="1"/>
    <n v="1079.08"/>
    <n v="3"/>
    <n v="411489.34"/>
    <n v="165306.07999999999"/>
    <n v="1022890.13"/>
    <n v="1.8710000000000001E-3"/>
  </r>
  <r>
    <x v="0"/>
    <x v="0"/>
    <n v="1132.47"/>
    <n v="0"/>
    <n v="526752.35"/>
    <n v="112475.66"/>
    <n v="1278415.44"/>
    <n v="1.7719999999999999E-3"/>
  </r>
  <r>
    <x v="1"/>
    <x v="3"/>
    <n v="840.5"/>
    <n v="3"/>
    <n v="379630.6"/>
    <n v="201162.82"/>
    <n v="771680.98"/>
    <n v="1.4469999999999999E-3"/>
  </r>
  <r>
    <x v="2"/>
    <x v="0"/>
    <n v="1272.3800000000001"/>
    <n v="1"/>
    <n v="586298.85"/>
    <n v="117344.1"/>
    <n v="1346091.37"/>
    <n v="1.8079999999999999E-3"/>
  </r>
  <r>
    <x v="3"/>
    <x v="2"/>
    <n v="1232.2"/>
    <n v="2"/>
    <n v="499247.87"/>
    <n v="98713.79"/>
    <n v="1040722.11"/>
    <n v="2.0609999999999999E-3"/>
  </r>
  <r>
    <x v="4"/>
    <x v="1"/>
    <n v="985.79"/>
    <n v="2"/>
    <n v="347198.79"/>
    <n v="146864.10999999999"/>
    <n v="921651.69"/>
    <n v="1.9949999999999998E-3"/>
  </r>
  <r>
    <x v="5"/>
    <x v="3"/>
    <n v="867.29"/>
    <n v="2"/>
    <n v="304844.15000000002"/>
    <n v="159614.26999999999"/>
    <n v="1028090.78"/>
    <n v="1.867E-3"/>
  </r>
  <r>
    <x v="6"/>
    <x v="0"/>
    <n v="804.18"/>
    <n v="2"/>
    <n v="374826.66"/>
    <n v="205938.22"/>
    <n v="811029.06"/>
    <n v="1.3849999999999999E-3"/>
  </r>
  <r>
    <x v="7"/>
    <x v="1"/>
    <n v="1064.3499999999999"/>
    <n v="1"/>
    <n v="419348.27"/>
    <n v="185971.28"/>
    <n v="1071992.22"/>
    <n v="1.758E-3"/>
  </r>
  <r>
    <x v="8"/>
    <x v="1"/>
    <n v="1128.8399999999999"/>
    <n v="1"/>
    <n v="395321.53"/>
    <n v="114970.08"/>
    <n v="1194966.33"/>
    <n v="2.212E-3"/>
  </r>
  <r>
    <x v="9"/>
    <x v="0"/>
    <n v="1300.53"/>
    <n v="2"/>
    <n v="468002.29"/>
    <n v="124235.3"/>
    <n v="1168712.8500000001"/>
    <n v="2.196E-3"/>
  </r>
  <r>
    <x v="10"/>
    <x v="1"/>
    <n v="1201.54"/>
    <n v="3"/>
    <n v="593164.86"/>
    <n v="251408.65"/>
    <n v="1338612.18"/>
    <n v="1.423E-3"/>
  </r>
  <r>
    <x v="11"/>
    <x v="1"/>
    <n v="1103.1300000000001"/>
    <n v="1"/>
    <n v="446605.71"/>
    <n v="103807.19"/>
    <n v="968918.35"/>
    <n v="2.0040000000000001E-3"/>
  </r>
  <r>
    <x v="12"/>
    <x v="3"/>
    <n v="934.61"/>
    <n v="1"/>
    <n v="436645.91"/>
    <n v="156744.76"/>
    <n v="802624.95"/>
    <n v="1.575E-3"/>
  </r>
  <r>
    <x v="13"/>
    <x v="1"/>
    <n v="1174.73"/>
    <n v="2"/>
    <n v="471982.96"/>
    <n v="227622.88"/>
    <n v="1076292.73"/>
    <n v="1.6789999999999999E-3"/>
  </r>
  <r>
    <x v="14"/>
    <x v="3"/>
    <n v="1071.02"/>
    <n v="3"/>
    <n v="398522.55"/>
    <n v="111176.24"/>
    <n v="1127110.42"/>
    <n v="2.101E-3"/>
  </r>
  <r>
    <x v="15"/>
    <x v="1"/>
    <n v="936.64"/>
    <n v="2"/>
    <n v="398155.94"/>
    <n v="191943.05"/>
    <n v="777873.8"/>
    <n v="1.5870000000000001E-3"/>
  </r>
  <r>
    <x v="16"/>
    <x v="2"/>
    <n v="976.63"/>
    <n v="2"/>
    <n v="421889.65"/>
    <n v="154922.4"/>
    <n v="798450.97"/>
    <n v="1.6930000000000001E-3"/>
  </r>
  <r>
    <x v="17"/>
    <x v="2"/>
    <n v="969.89"/>
    <n v="1"/>
    <n v="462197.47"/>
    <n v="217178.88"/>
    <n v="1083613.8799999999"/>
    <n v="1.428E-3"/>
  </r>
  <r>
    <x v="18"/>
    <x v="3"/>
    <n v="715.18"/>
    <n v="3"/>
    <n v="352378.87"/>
    <n v="259222.89"/>
    <n v="775746.5"/>
    <n v="1.1689999999999999E-3"/>
  </r>
  <r>
    <x v="19"/>
    <x v="3"/>
    <n v="907.19"/>
    <n v="1"/>
    <n v="398289.23"/>
    <n v="80962.23"/>
    <n v="951589.86"/>
    <n v="1.8929999999999999E-3"/>
  </r>
  <r>
    <x v="20"/>
    <x v="2"/>
    <n v="1049.78"/>
    <n v="3"/>
    <n v="516023.18"/>
    <n v="254020.34"/>
    <n v="1058787.71"/>
    <n v="1.3630000000000001E-3"/>
  </r>
  <r>
    <x v="21"/>
    <x v="1"/>
    <n v="1087.27"/>
    <n v="2"/>
    <n v="489259.14"/>
    <n v="114404.96"/>
    <n v="1115572.56"/>
    <n v="1.8010000000000001E-3"/>
  </r>
  <r>
    <x v="22"/>
    <x v="3"/>
    <n v="713.5"/>
    <n v="2"/>
    <n v="250692.84"/>
    <n v="143554.4"/>
    <n v="835137.44"/>
    <n v="1.81E-3"/>
  </r>
  <r>
    <x v="23"/>
    <x v="0"/>
    <n v="1294.29"/>
    <n v="1"/>
    <n v="617645.17000000004"/>
    <n v="179329.22"/>
    <n v="1084824.8999999999"/>
    <n v="1.624E-3"/>
  </r>
  <r>
    <x v="24"/>
    <x v="1"/>
    <n v="909.59"/>
    <n v="1"/>
    <n v="383968.73"/>
    <n v="169365.1"/>
    <n v="770788.13"/>
    <n v="1.6440000000000001E-3"/>
  </r>
  <r>
    <x v="25"/>
    <x v="1"/>
    <n v="986.3"/>
    <n v="2"/>
    <n v="457792.86"/>
    <n v="145758.60999999999"/>
    <n v="943873.72"/>
    <n v="1.634E-3"/>
  </r>
  <r>
    <x v="26"/>
    <x v="2"/>
    <n v="765.05"/>
    <n v="5"/>
    <n v="296570.84000000003"/>
    <n v="234611.1"/>
    <n v="721769.86"/>
    <n v="1.4400000000000001E-3"/>
  </r>
  <r>
    <x v="27"/>
    <x v="3"/>
    <n v="718.32"/>
    <n v="2"/>
    <n v="305929.75"/>
    <n v="123127.92"/>
    <n v="585845.1"/>
    <n v="1.6739999999999999E-3"/>
  </r>
  <r>
    <x v="28"/>
    <x v="1"/>
    <n v="1209.6099999999999"/>
    <n v="0"/>
    <n v="455157.74"/>
    <n v="180015.55"/>
    <n v="1104367.8600000001"/>
    <n v="1.9040000000000001E-3"/>
  </r>
  <r>
    <x v="29"/>
    <x v="3"/>
    <n v="915.88"/>
    <n v="2"/>
    <n v="424802.13"/>
    <n v="132374.41"/>
    <n v="862048.64"/>
    <n v="1.6440000000000001E-3"/>
  </r>
  <r>
    <x v="30"/>
    <x v="3"/>
    <n v="987.66"/>
    <n v="5"/>
    <n v="419391.86"/>
    <n v="180702.02"/>
    <n v="1023664.32"/>
    <n v="1.6459999999999999E-3"/>
  </r>
  <r>
    <x v="31"/>
    <x v="3"/>
    <n v="817.39"/>
    <n v="2"/>
    <n v="294548.07"/>
    <n v="231117.68"/>
    <n v="819654.5"/>
    <n v="1.555E-3"/>
  </r>
  <r>
    <x v="32"/>
    <x v="2"/>
    <n v="846.07"/>
    <n v="3"/>
    <n v="384150.58"/>
    <n v="225668.42"/>
    <n v="898404.99"/>
    <n v="1.387E-3"/>
  </r>
  <r>
    <x v="33"/>
    <x v="3"/>
    <n v="633.21"/>
    <n v="1"/>
    <n v="233769.17"/>
    <n v="184832.01"/>
    <n v="506572.44"/>
    <n v="1.513E-3"/>
  </r>
  <r>
    <x v="34"/>
    <x v="2"/>
    <n v="1047.95"/>
    <n v="2"/>
    <n v="519741.99"/>
    <n v="123918.8"/>
    <n v="965871.97"/>
    <n v="1.6280000000000001E-3"/>
  </r>
  <r>
    <x v="35"/>
    <x v="0"/>
    <n v="1045.51"/>
    <n v="0"/>
    <n v="480309"/>
    <n v="195026.82"/>
    <n v="930208.25"/>
    <n v="1.5479999999999999E-3"/>
  </r>
  <r>
    <x v="36"/>
    <x v="1"/>
    <n v="987.65"/>
    <n v="4"/>
    <n v="393867.28"/>
    <n v="236893.2"/>
    <n v="1112791.58"/>
    <n v="1.5659999999999999E-3"/>
  </r>
  <r>
    <x v="37"/>
    <x v="1"/>
    <n v="1030.96"/>
    <n v="5"/>
    <n v="463058.11"/>
    <n v="161768.37"/>
    <n v="1049310.33"/>
    <n v="1.65E-3"/>
  </r>
  <r>
    <x v="38"/>
    <x v="0"/>
    <n v="1029.68"/>
    <n v="1"/>
    <n v="480958.53"/>
    <n v="157565.92000000001"/>
    <n v="1215938.51"/>
    <n v="1.6130000000000001E-3"/>
  </r>
  <r>
    <x v="39"/>
    <x v="2"/>
    <n v="761.73"/>
    <n v="2"/>
    <n v="325318.39"/>
    <n v="166333.57999999999"/>
    <n v="721901.2"/>
    <n v="1.549E-3"/>
  </r>
  <r>
    <x v="40"/>
    <x v="1"/>
    <n v="1218.94"/>
    <n v="6"/>
    <n v="559916.73"/>
    <n v="299253.64"/>
    <n v="1108782.94"/>
    <n v="1.4189999999999999E-3"/>
  </r>
  <r>
    <x v="41"/>
    <x v="2"/>
    <n v="919.61"/>
    <n v="1"/>
    <n v="456840.85"/>
    <n v="198480.58"/>
    <n v="993604.94"/>
    <n v="1.403E-3"/>
  </r>
  <r>
    <x v="42"/>
    <x v="2"/>
    <n v="1081"/>
    <n v="4"/>
    <n v="404787.54"/>
    <n v="247930.85"/>
    <n v="1182377.53"/>
    <n v="1.6559999999999999E-3"/>
  </r>
  <r>
    <x v="43"/>
    <x v="2"/>
    <n v="955.9"/>
    <n v="1"/>
    <n v="435467.25"/>
    <n v="215538.57"/>
    <n v="932069.02"/>
    <n v="1.4679999999999999E-3"/>
  </r>
  <r>
    <x v="44"/>
    <x v="0"/>
    <n v="1189.26"/>
    <n v="3"/>
    <n v="588749.51"/>
    <n v="117750.31"/>
    <n v="1191541.3999999999"/>
    <n v="1.683E-3"/>
  </r>
  <r>
    <x v="45"/>
    <x v="0"/>
    <n v="1304.82"/>
    <n v="2"/>
    <n v="534303.42000000004"/>
    <n v="109757.25"/>
    <n v="1495482.97"/>
    <n v="2.026E-3"/>
  </r>
  <r>
    <x v="46"/>
    <x v="2"/>
    <n v="1063.1500000000001"/>
    <n v="1"/>
    <n v="418355.19"/>
    <n v="200712.11"/>
    <n v="1136589.3400000001"/>
    <n v="1.717E-3"/>
  </r>
  <r>
    <x v="47"/>
    <x v="3"/>
    <n v="802.59"/>
    <n v="4"/>
    <n v="362051.31"/>
    <n v="137775.37"/>
    <n v="818276.66"/>
    <n v="1.606E-3"/>
  </r>
  <r>
    <x v="48"/>
    <x v="0"/>
    <n v="1315.81"/>
    <n v="1"/>
    <n v="530199.15"/>
    <n v="163193.87"/>
    <n v="1228470.45"/>
    <n v="1.8979999999999999E-3"/>
  </r>
  <r>
    <x v="49"/>
    <x v="3"/>
    <n v="805.61"/>
    <n v="0"/>
    <n v="376674.44"/>
    <n v="92863.75"/>
    <n v="783945.01"/>
    <n v="1.7160000000000001E-3"/>
  </r>
  <r>
    <x v="50"/>
    <x v="3"/>
    <n v="1130.06"/>
    <n v="2"/>
    <n v="458903.64"/>
    <n v="231667.29"/>
    <n v="1194126.46"/>
    <n v="1.6360000000000001E-3"/>
  </r>
  <r>
    <x v="51"/>
    <x v="2"/>
    <n v="1167.6099999999999"/>
    <n v="1"/>
    <n v="540184.14"/>
    <n v="85205.93"/>
    <n v="1063857.31"/>
    <n v="1.867E-3"/>
  </r>
  <r>
    <x v="52"/>
    <x v="3"/>
    <n v="1117.27"/>
    <n v="1"/>
    <n v="555347.42000000004"/>
    <n v="80125.38"/>
    <n v="1125632.55"/>
    <n v="1.758E-3"/>
  </r>
  <r>
    <x v="53"/>
    <x v="3"/>
    <n v="865.44"/>
    <n v="3"/>
    <n v="354520.4"/>
    <n v="149641.44"/>
    <n v="763433.24"/>
    <n v="1.717E-3"/>
  </r>
  <r>
    <x v="54"/>
    <x v="3"/>
    <n v="761.37"/>
    <n v="1"/>
    <n v="299307.25"/>
    <n v="168513.41"/>
    <n v="904056.2"/>
    <n v="1.627E-3"/>
  </r>
  <r>
    <x v="55"/>
    <x v="2"/>
    <n v="891.74"/>
    <n v="0"/>
    <n v="439372.01"/>
    <n v="94593.62"/>
    <n v="746231.4"/>
    <n v="1.67E-3"/>
  </r>
  <r>
    <x v="56"/>
    <x v="2"/>
    <n v="1026.52"/>
    <n v="3"/>
    <n v="361609.82"/>
    <n v="254752.31"/>
    <n v="924237.51"/>
    <n v="1.665E-3"/>
  </r>
  <r>
    <x v="57"/>
    <x v="0"/>
    <n v="1378.49"/>
    <n v="2"/>
    <n v="606052.02"/>
    <n v="219914.35"/>
    <n v="1624813.31"/>
    <n v="1.6689999999999999E-3"/>
  </r>
  <r>
    <x v="58"/>
    <x v="0"/>
    <n v="1352.05"/>
    <n v="0"/>
    <n v="504618.41"/>
    <n v="191710.44"/>
    <n v="1479974.47"/>
    <n v="1.9419999999999999E-3"/>
  </r>
  <r>
    <x v="59"/>
    <x v="3"/>
    <n v="867.76"/>
    <n v="3"/>
    <n v="305721.07"/>
    <n v="197438.91"/>
    <n v="782063.66"/>
    <n v="1.725E-3"/>
  </r>
  <r>
    <x v="60"/>
    <x v="2"/>
    <n v="1041.52"/>
    <n v="4"/>
    <n v="469588.72"/>
    <n v="276551.03999999998"/>
    <n v="875664.65"/>
    <n v="1.3960000000000001E-3"/>
  </r>
  <r>
    <x v="61"/>
    <x v="2"/>
    <n v="996.47"/>
    <n v="0"/>
    <n v="460624.58"/>
    <n v="187182.3"/>
    <n v="970168.8"/>
    <n v="1.5380000000000001E-3"/>
  </r>
  <r>
    <x v="62"/>
    <x v="3"/>
    <n v="873.85"/>
    <n v="1"/>
    <n v="400673.79"/>
    <n v="71358.12"/>
    <n v="905114.5"/>
    <n v="1.851E-3"/>
  </r>
  <r>
    <x v="63"/>
    <x v="0"/>
    <n v="1435.24"/>
    <n v="2"/>
    <n v="545232.57999999996"/>
    <n v="221620.51"/>
    <n v="1572285.58"/>
    <n v="1.872E-3"/>
  </r>
  <r>
    <x v="64"/>
    <x v="2"/>
    <n v="1193.56"/>
    <n v="0"/>
    <n v="462211.94"/>
    <n v="82160.97"/>
    <n v="1084133.1000000001"/>
    <n v="2.1930000000000001E-3"/>
  </r>
  <r>
    <x v="65"/>
    <x v="0"/>
    <n v="1455.75"/>
    <n v="2"/>
    <n v="717283.44"/>
    <n v="215773.78"/>
    <n v="1633406.47"/>
    <n v="1.56E-3"/>
  </r>
  <r>
    <x v="66"/>
    <x v="3"/>
    <n v="854.88"/>
    <n v="3"/>
    <n v="378299.18"/>
    <n v="221432.22"/>
    <n v="936235.78"/>
    <n v="1.4250000000000001E-3"/>
  </r>
  <r>
    <x v="67"/>
    <x v="2"/>
    <n v="885.51"/>
    <n v="3"/>
    <n v="345638.23"/>
    <n v="165267.34"/>
    <n v="1025539.79"/>
    <n v="1.7329999999999999E-3"/>
  </r>
  <r>
    <x v="68"/>
    <x v="3"/>
    <n v="905.69"/>
    <n v="4"/>
    <n v="412831.13"/>
    <n v="194140.2"/>
    <n v="884876.28"/>
    <n v="1.4920000000000001E-3"/>
  </r>
  <r>
    <x v="69"/>
    <x v="1"/>
    <n v="1180.75"/>
    <n v="0"/>
    <n v="559334.18000000005"/>
    <n v="93857.47"/>
    <n v="1154261.79"/>
    <n v="1.8079999999999999E-3"/>
  </r>
  <r>
    <x v="70"/>
    <x v="3"/>
    <n v="927.64"/>
    <n v="0"/>
    <n v="366562.25"/>
    <n v="125394.69"/>
    <n v="762954.16"/>
    <n v="1.8860000000000001E-3"/>
  </r>
  <r>
    <x v="71"/>
    <x v="3"/>
    <n v="1018.98"/>
    <n v="0"/>
    <n v="473483.34"/>
    <n v="111450.66"/>
    <n v="1082222.68"/>
    <n v="1.7420000000000001E-3"/>
  </r>
  <r>
    <x v="72"/>
    <x v="3"/>
    <n v="897.52"/>
    <n v="1"/>
    <n v="335734.63"/>
    <n v="80573.789999999994"/>
    <n v="784664.34"/>
    <n v="2.1559999999999999E-3"/>
  </r>
  <r>
    <x v="73"/>
    <x v="2"/>
    <n v="1118.56"/>
    <n v="2"/>
    <n v="440015.37"/>
    <n v="136471.03"/>
    <n v="1006680.94"/>
    <n v="1.9400000000000001E-3"/>
  </r>
  <r>
    <x v="74"/>
    <x v="3"/>
    <n v="951.01"/>
    <n v="2"/>
    <n v="383321.12"/>
    <n v="214283.34"/>
    <n v="1061055.58"/>
    <n v="1.591E-3"/>
  </r>
  <r>
    <x v="75"/>
    <x v="3"/>
    <n v="982.33"/>
    <n v="2"/>
    <n v="418321.54"/>
    <n v="231168.12"/>
    <n v="1130200.9099999999"/>
    <n v="1.5120000000000001E-3"/>
  </r>
  <r>
    <x v="76"/>
    <x v="1"/>
    <n v="1061.76"/>
    <n v="0"/>
    <n v="434162.49"/>
    <n v="133005.68"/>
    <n v="1063087"/>
    <n v="1.872E-3"/>
  </r>
  <r>
    <x v="77"/>
    <x v="2"/>
    <n v="1055.1199999999999"/>
    <n v="5"/>
    <n v="394673.55"/>
    <n v="251046.81"/>
    <n v="919751.44"/>
    <n v="1.634E-3"/>
  </r>
  <r>
    <x v="78"/>
    <x v="1"/>
    <n v="1052.97"/>
    <n v="2"/>
    <n v="394645.65"/>
    <n v="90298.82"/>
    <n v="1145101.1000000001"/>
    <n v="2.1710000000000002E-3"/>
  </r>
  <r>
    <x v="79"/>
    <x v="3"/>
    <n v="916.82"/>
    <n v="1"/>
    <n v="323516.17"/>
    <n v="94862.23"/>
    <n v="1060152.74"/>
    <n v="2.1909999999999998E-3"/>
  </r>
  <r>
    <x v="80"/>
    <x v="2"/>
    <n v="1261.7"/>
    <n v="1"/>
    <n v="461530.65"/>
    <n v="103354.2"/>
    <n v="1271398.1000000001"/>
    <n v="2.2339999999999999E-3"/>
  </r>
  <r>
    <x v="81"/>
    <x v="1"/>
    <n v="887.36"/>
    <n v="0"/>
    <n v="362622.57"/>
    <n v="85130.51"/>
    <n v="787814.16"/>
    <n v="1.9819999999999998E-3"/>
  </r>
  <r>
    <x v="82"/>
    <x v="3"/>
    <n v="989.98"/>
    <n v="4"/>
    <n v="426815.29"/>
    <n v="234464.47"/>
    <n v="1070027.04"/>
    <n v="1.4970000000000001E-3"/>
  </r>
  <r>
    <x v="83"/>
    <x v="0"/>
    <n v="1200.07"/>
    <n v="3"/>
    <n v="440795.58"/>
    <n v="200845.68"/>
    <n v="1016314.47"/>
    <n v="1.8699999999999999E-3"/>
  </r>
  <r>
    <x v="84"/>
    <x v="1"/>
    <n v="905.42"/>
    <n v="1"/>
    <n v="410891.73"/>
    <n v="100937.82"/>
    <n v="866259.43"/>
    <n v="1.769E-3"/>
  </r>
  <r>
    <x v="85"/>
    <x v="2"/>
    <n v="980.19"/>
    <n v="2"/>
    <n v="459623.11"/>
    <n v="100356.89"/>
    <n v="970092.99"/>
    <n v="1.75E-3"/>
  </r>
  <r>
    <x v="86"/>
    <x v="1"/>
    <n v="1126.51"/>
    <n v="3"/>
    <n v="395965.81"/>
    <n v="218516.55"/>
    <n v="1142580.27"/>
    <n v="1.833E-3"/>
  </r>
  <r>
    <x v="87"/>
    <x v="1"/>
    <n v="1155.82"/>
    <n v="3"/>
    <n v="482777.47"/>
    <n v="137516.32999999999"/>
    <n v="1319929.6599999999"/>
    <n v="1.8630000000000001E-3"/>
  </r>
  <r>
    <x v="88"/>
    <x v="1"/>
    <n v="1158.3699999999999"/>
    <n v="2"/>
    <n v="472818"/>
    <n v="210530.65"/>
    <n v="1344535.7"/>
    <n v="1.6949999999999999E-3"/>
  </r>
  <r>
    <x v="89"/>
    <x v="0"/>
    <n v="1158.6400000000001"/>
    <n v="2"/>
    <n v="518201.17"/>
    <n v="101115.81"/>
    <n v="1100929.77"/>
    <n v="1.8710000000000001E-3"/>
  </r>
  <r>
    <x v="90"/>
    <x v="2"/>
    <n v="1141.0999999999999"/>
    <n v="4"/>
    <n v="437062.05"/>
    <n v="182578.08"/>
    <n v="1082923.28"/>
    <n v="1.8420000000000001E-3"/>
  </r>
  <r>
    <x v="91"/>
    <x v="2"/>
    <n v="971.98"/>
    <n v="4"/>
    <n v="371929.87"/>
    <n v="229252.64"/>
    <n v="965759.38"/>
    <n v="1.6169999999999999E-3"/>
  </r>
  <r>
    <x v="92"/>
    <x v="2"/>
    <n v="907.36"/>
    <n v="0"/>
    <n v="427070.29"/>
    <n v="165921.44"/>
    <n v="924932.04"/>
    <n v="1.5299999999999999E-3"/>
  </r>
  <r>
    <x v="93"/>
    <x v="3"/>
    <n v="1109.49"/>
    <n v="3"/>
    <n v="500017.67"/>
    <n v="203071.07"/>
    <n v="1217000.48"/>
    <n v="1.578E-3"/>
  </r>
  <r>
    <x v="94"/>
    <x v="2"/>
    <n v="1062.2"/>
    <n v="1"/>
    <n v="513637.59"/>
    <n v="182496.67"/>
    <n v="1235644.8600000001"/>
    <n v="1.526E-3"/>
  </r>
  <r>
    <x v="95"/>
    <x v="2"/>
    <n v="1081.21"/>
    <n v="4"/>
    <n v="455285.23"/>
    <n v="237459.57"/>
    <n v="982147.41"/>
    <n v="1.5610000000000001E-3"/>
  </r>
  <r>
    <x v="96"/>
    <x v="0"/>
    <n v="1416.26"/>
    <n v="1"/>
    <n v="546994.18999999994"/>
    <n v="102236.9"/>
    <n v="1373685.29"/>
    <n v="2.1810000000000002E-3"/>
  </r>
  <r>
    <x v="97"/>
    <x v="3"/>
    <n v="902.34"/>
    <n v="1"/>
    <n v="410045.68"/>
    <n v="127419.81"/>
    <n v="1018503.48"/>
    <n v="1.6789999999999999E-3"/>
  </r>
  <r>
    <x v="98"/>
    <x v="3"/>
    <n v="1035.3399999999999"/>
    <n v="3"/>
    <n v="403378.7"/>
    <n v="250860.27"/>
    <n v="1091819.1599999999"/>
    <n v="1.583E-3"/>
  </r>
  <r>
    <x v="99"/>
    <x v="1"/>
    <n v="923.66"/>
    <n v="1"/>
    <n v="353584.14"/>
    <n v="159295.49"/>
    <n v="836701.85"/>
    <n v="1.8010000000000001E-3"/>
  </r>
  <r>
    <x v="100"/>
    <x v="3"/>
    <n v="765.74"/>
    <n v="4"/>
    <n v="278160.81"/>
    <n v="234842.32"/>
    <n v="725414.83"/>
    <n v="1.493E-3"/>
  </r>
  <r>
    <x v="101"/>
    <x v="3"/>
    <n v="830.99"/>
    <n v="1"/>
    <n v="400434.99"/>
    <n v="106509.5"/>
    <n v="850047.17"/>
    <n v="1.639E-3"/>
  </r>
  <r>
    <x v="102"/>
    <x v="0"/>
    <n v="1190.04"/>
    <n v="0"/>
    <n v="535551.1"/>
    <n v="98454.1"/>
    <n v="1379458.05"/>
    <n v="1.877E-3"/>
  </r>
  <r>
    <x v="103"/>
    <x v="2"/>
    <n v="950.58"/>
    <n v="5"/>
    <n v="342293.84"/>
    <n v="164237.69"/>
    <n v="1140278.33"/>
    <n v="1.877E-3"/>
  </r>
  <r>
    <x v="104"/>
    <x v="3"/>
    <n v="1009.78"/>
    <n v="5"/>
    <n v="359535.03"/>
    <n v="211678.73"/>
    <n v="860365.66"/>
    <n v="1.768E-3"/>
  </r>
  <r>
    <x v="105"/>
    <x v="3"/>
    <n v="894.1"/>
    <n v="3"/>
    <n v="344053.62"/>
    <n v="112157.22"/>
    <n v="988647.67"/>
    <n v="1.9599999999999999E-3"/>
  </r>
  <r>
    <x v="106"/>
    <x v="0"/>
    <n v="1179.83"/>
    <n v="2"/>
    <n v="561087.18000000005"/>
    <n v="182928.93"/>
    <n v="1209743.6599999999"/>
    <n v="1.586E-3"/>
  </r>
  <r>
    <x v="107"/>
    <x v="3"/>
    <n v="1045.01"/>
    <n v="4"/>
    <n v="476640.9"/>
    <n v="188384.57"/>
    <n v="931682.49"/>
    <n v="1.5709999999999999E-3"/>
  </r>
  <r>
    <x v="108"/>
    <x v="3"/>
    <n v="949.59"/>
    <n v="4"/>
    <n v="362500.08"/>
    <n v="279344.67"/>
    <n v="1132331.1399999999"/>
    <n v="1.4790000000000001E-3"/>
  </r>
  <r>
    <x v="109"/>
    <x v="0"/>
    <n v="1367.77"/>
    <n v="2"/>
    <n v="572020.89"/>
    <n v="191217.95"/>
    <n v="1464897.52"/>
    <n v="1.792E-3"/>
  </r>
  <r>
    <x v="110"/>
    <x v="1"/>
    <n v="1182.4000000000001"/>
    <n v="2"/>
    <n v="502582.62"/>
    <n v="193632.6"/>
    <n v="1275634.49"/>
    <n v="1.6980000000000001E-3"/>
  </r>
  <r>
    <x v="111"/>
    <x v="1"/>
    <n v="903.25"/>
    <n v="1"/>
    <n v="397334.38"/>
    <n v="96903.4"/>
    <n v="977364.16"/>
    <n v="1.828E-3"/>
  </r>
  <r>
    <x v="112"/>
    <x v="3"/>
    <n v="1030.1400000000001"/>
    <n v="3"/>
    <n v="363508.98"/>
    <n v="226865.39"/>
    <n v="1075346.51"/>
    <n v="1.745E-3"/>
  </r>
  <r>
    <x v="113"/>
    <x v="3"/>
    <n v="1026.98"/>
    <n v="4"/>
    <n v="383117.79"/>
    <n v="215891.08"/>
    <n v="935376.45"/>
    <n v="1.714E-3"/>
  </r>
  <r>
    <x v="114"/>
    <x v="2"/>
    <n v="1074.96"/>
    <n v="3"/>
    <n v="384620.75"/>
    <n v="114761.56"/>
    <n v="1042000.15"/>
    <n v="2.153E-3"/>
  </r>
  <r>
    <x v="115"/>
    <x v="3"/>
    <n v="929.25"/>
    <n v="3"/>
    <n v="445530.27"/>
    <n v="242914.02"/>
    <n v="816499.43"/>
    <n v="1.3500000000000001E-3"/>
  </r>
  <r>
    <x v="116"/>
    <x v="2"/>
    <n v="886.26"/>
    <n v="4"/>
    <n v="429484.79999999999"/>
    <n v="223394.58"/>
    <n v="1054073.28"/>
    <n v="1.3569999999999999E-3"/>
  </r>
  <r>
    <x v="117"/>
    <x v="1"/>
    <n v="1278.8699999999999"/>
    <n v="0"/>
    <n v="511923.04"/>
    <n v="60052.480000000003"/>
    <n v="1522036.17"/>
    <n v="2.2360000000000001E-3"/>
  </r>
  <r>
    <x v="118"/>
    <x v="3"/>
    <n v="881.98"/>
    <n v="3"/>
    <n v="359707.61"/>
    <n v="120655.23"/>
    <n v="779952.73"/>
    <n v="1.836E-3"/>
  </r>
  <r>
    <x v="119"/>
    <x v="3"/>
    <n v="873.48"/>
    <n v="1"/>
    <n v="327664.46999999997"/>
    <n v="92091.33"/>
    <n v="1038773.86"/>
    <n v="2.081E-3"/>
  </r>
  <r>
    <x v="120"/>
    <x v="0"/>
    <n v="967.71"/>
    <n v="3"/>
    <n v="454574.66"/>
    <n v="158938.09"/>
    <n v="890051.99"/>
    <n v="1.5770000000000001E-3"/>
  </r>
  <r>
    <x v="121"/>
    <x v="3"/>
    <n v="826.92"/>
    <n v="1"/>
    <n v="373022.7"/>
    <n v="79384.73"/>
    <n v="731164.57"/>
    <n v="1.828E-3"/>
  </r>
  <r>
    <x v="122"/>
    <x v="1"/>
    <n v="1047.21"/>
    <n v="1"/>
    <n v="420347.44"/>
    <n v="199698.84"/>
    <n v="902665.29"/>
    <n v="1.689E-3"/>
  </r>
  <r>
    <x v="123"/>
    <x v="3"/>
    <n v="895.28"/>
    <n v="3"/>
    <n v="391333.04"/>
    <n v="185826.31"/>
    <n v="767823.88"/>
    <n v="1.5510000000000001E-3"/>
  </r>
  <r>
    <x v="124"/>
    <x v="2"/>
    <n v="872.74"/>
    <n v="2"/>
    <n v="316227.8"/>
    <n v="158937.60999999999"/>
    <n v="805173.21"/>
    <n v="1.8370000000000001E-3"/>
  </r>
  <r>
    <x v="125"/>
    <x v="3"/>
    <n v="722.12"/>
    <n v="5"/>
    <n v="311019.94"/>
    <n v="276016.21000000002"/>
    <n v="863498.08"/>
    <n v="1.23E-3"/>
  </r>
  <r>
    <x v="126"/>
    <x v="2"/>
    <n v="651.71"/>
    <n v="2"/>
    <n v="275938.34000000003"/>
    <n v="201246.22"/>
    <n v="649769.42000000004"/>
    <n v="1.366E-3"/>
  </r>
  <r>
    <x v="127"/>
    <x v="0"/>
    <n v="1387.03"/>
    <n v="2"/>
    <n v="553752.37"/>
    <n v="158098.49"/>
    <n v="1532642.87"/>
    <n v="1.9480000000000001E-3"/>
  </r>
  <r>
    <x v="128"/>
    <x v="3"/>
    <n v="890.7"/>
    <n v="0"/>
    <n v="337987.36"/>
    <n v="192716.72"/>
    <n v="775083.63"/>
    <n v="1.678E-3"/>
  </r>
  <r>
    <x v="129"/>
    <x v="0"/>
    <n v="1485.62"/>
    <n v="2"/>
    <n v="643124.13"/>
    <n v="145825.99"/>
    <n v="1581690.97"/>
    <n v="1.8829999999999999E-3"/>
  </r>
  <r>
    <x v="130"/>
    <x v="0"/>
    <n v="1443.89"/>
    <n v="1"/>
    <n v="545489.44999999995"/>
    <n v="111796.46"/>
    <n v="1281432.56"/>
    <n v="2.1970000000000002E-3"/>
  </r>
  <r>
    <x v="131"/>
    <x v="3"/>
    <n v="966.3"/>
    <n v="4"/>
    <n v="392493.04"/>
    <n v="249659.84"/>
    <n v="915041.88"/>
    <n v="1.505E-3"/>
  </r>
  <r>
    <x v="132"/>
    <x v="2"/>
    <n v="935.44"/>
    <n v="0"/>
    <n v="405530.78"/>
    <n v="176768.13"/>
    <n v="1046170.99"/>
    <n v="1.606E-3"/>
  </r>
  <r>
    <x v="133"/>
    <x v="3"/>
    <n v="978"/>
    <n v="1"/>
    <n v="470526.26"/>
    <n v="107450.34"/>
    <n v="885382.24"/>
    <n v="1.6919999999999999E-3"/>
  </r>
  <r>
    <x v="134"/>
    <x v="2"/>
    <n v="853.32"/>
    <n v="0"/>
    <n v="410108.02"/>
    <n v="168889.22"/>
    <n v="896785.58"/>
    <n v="1.474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1657C-F6DF-4BC7-9529-F1C8563ED395}" name="PivotTable52"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7:K22"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dataField="1" showAll="0"/>
    <pivotField showAll="0"/>
    <pivotField showAll="0"/>
    <pivotField showAll="0"/>
    <pivotField showAll="0"/>
    <pivotField showAll="0"/>
    <pivotField outline="0" showAll="0">
      <items count="15">
        <item h="1" x="0"/>
        <item h="1" x="1"/>
        <item h="1" x="2"/>
        <item h="1" x="3"/>
        <item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Downtime_Hours" fld="3" baseField="0" baseItem="0"/>
  </dataFields>
  <formats count="1">
    <format dxfId="0">
      <pivotArea outline="0" collapsedLevelsAreSubtotals="1" fieldPosition="0">
        <references count="1">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50DB1-4878-4204-A7EC-99F9593ECBFB}" name="PivotTable51"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7:H22"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showAll="0"/>
    <pivotField showAll="0"/>
    <pivotField showAll="0"/>
    <pivotField dataField="1" showAll="0"/>
    <pivotField showAll="0"/>
    <pivotField showAll="0"/>
    <pivotField outline="0" showAll="0" sortType="descending">
      <items count="15">
        <item h="1" x="0"/>
        <item h="1" x="1"/>
        <item h="1" x="2"/>
        <item h="1" x="3"/>
        <item x="4"/>
        <item h="1" x="5"/>
        <item h="1" x="6"/>
        <item h="1" x="7"/>
        <item h="1" x="8"/>
        <item h="1" x="9"/>
        <item h="1" x="10"/>
        <item h="1" x="11"/>
        <item h="1" x="12"/>
        <item h="1" x="13"/>
        <item t="default"/>
      </items>
      <autoSortScope>
        <pivotArea dataOnly="0" outline="0" fieldPosition="0">
          <references count="1">
            <reference field="4294967294" count="1" selected="0">
              <x v="0"/>
            </reference>
          </references>
        </pivotArea>
      </autoSortScope>
    </pivotField>
  </pivotFields>
  <rowFields count="1">
    <field x="1"/>
  </rowFields>
  <rowItems count="5">
    <i>
      <x/>
    </i>
    <i>
      <x v="1"/>
    </i>
    <i>
      <x v="2"/>
    </i>
    <i>
      <x v="3"/>
    </i>
    <i t="grand">
      <x/>
    </i>
  </rowItems>
  <colItems count="1">
    <i/>
  </colItems>
  <dataFields count="1">
    <dataField name="Sum of Revenue_NGN" fld="6" showDataAs="percentOfTotal" baseField="1" baseItem="0" numFmtId="10"/>
  </dataFields>
  <formats count="2">
    <format dxfId="2">
      <pivotArea outline="0" collapsedLevelsAreSubtotals="1" fieldPosition="0">
        <references count="1">
          <reference field="1" count="0" selected="0"/>
        </references>
      </pivotArea>
    </format>
    <format dxfId="1">
      <pivotArea outline="0" fieldPosition="0">
        <references count="1">
          <reference field="4294967294" count="1">
            <x v="0"/>
          </reference>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50D36C-DE8D-4E9C-94E3-8E3AC08DDC79}" name="PivotTable50"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0:H15"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dataField="1" showAll="0"/>
    <pivotField showAll="0"/>
    <pivotField showAll="0"/>
    <pivotField showAll="0"/>
    <pivotField showAll="0"/>
    <pivotField showAll="0"/>
    <pivotField showAll="0"/>
    <pivotField outline="0" showAll="0">
      <items count="15">
        <item h="1" x="0"/>
        <item h="1" x="1"/>
        <item h="1" x="2"/>
        <item h="1" x="3"/>
        <item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Energy_Generated_MWh" fld="2" baseField="0" baseItem="0"/>
  </dataFields>
  <formats count="1">
    <format dxfId="3">
      <pivotArea outline="0" collapsedLevelsAreSubtotals="1" fieldPosition="0">
        <references count="1">
          <reference field="1" count="0" selected="0"/>
        </references>
      </pivotArea>
    </format>
  </formats>
  <chartFormats count="2">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3A512-BA2E-4CC5-949C-BB971B4F39F5}" name="PivotTable48"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E12"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outline="0" showAll="0">
      <items count="5">
        <item x="2"/>
        <item x="3"/>
        <item x="0"/>
        <item x="1"/>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outline="0" showAll="0" sortType="ascending">
      <items count="15">
        <item h="1" sd="0" x="1"/>
        <item h="1" sd="0" x="2"/>
        <item h="1" sd="0" x="3"/>
        <item sd="0" x="4"/>
        <item h="1" sd="0" x="5"/>
        <item h="1" sd="0" x="6"/>
        <item h="1" sd="0" x="7"/>
        <item h="1" sd="0" x="8"/>
        <item h="1" sd="0" x="9"/>
        <item h="1" sd="0" x="10"/>
        <item h="1" sd="0" x="11"/>
        <item h="1" sd="0" x="12"/>
        <item h="1" sd="0" x="0"/>
        <item h="1" sd="0" x="13"/>
        <item t="default"/>
      </items>
    </pivotField>
  </pivotFields>
  <rowFields count="1">
    <field x="9"/>
  </rowFields>
  <rowItems count="2">
    <i>
      <x v="3"/>
    </i>
    <i t="grand">
      <x/>
    </i>
  </rowItems>
  <colItems count="1">
    <i/>
  </colItems>
  <dataFields count="1">
    <dataField name="Sum of Revenue_NGN"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149E7-8656-4835-AF18-B04A927B784A}" name="PivotTable47"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8"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dataField="1" showAll="0"/>
    <pivotField showAll="0"/>
    <pivotField showAll="0"/>
    <pivotField showAll="0"/>
    <pivotField showAll="0"/>
    <pivotField showAll="0"/>
    <pivotField outline="0" showAll="0">
      <items count="15">
        <item h="1" x="0"/>
        <item h="1" x="1"/>
        <item h="1" x="2"/>
        <item h="1" x="3"/>
        <item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Downtime_Hours" fld="3" showDataAs="percentOfTotal" baseField="1" baseItem="0" numFmtId="10"/>
  </dataFields>
  <formats count="2">
    <format dxfId="5">
      <pivotArea outline="0" collapsedLevelsAreSubtotals="1" fieldPosition="0">
        <references count="1">
          <reference field="1" count="0" selected="0"/>
        </references>
      </pivotArea>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61AD8-D879-4D6E-8B31-B04E36DE9C3F}" name="PivotTable46"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8"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showAll="0"/>
    <pivotField showAll="0"/>
    <pivotField dataField="1" showAll="0"/>
    <pivotField showAll="0"/>
    <pivotField showAll="0"/>
    <pivotField showAll="0"/>
    <pivotField outline="0" showAll="0">
      <items count="15">
        <item h="1" x="0"/>
        <item h="1" x="1"/>
        <item h="1" x="2"/>
        <item h="1" x="3"/>
        <item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Maintenance_Cost_NGN" fld="5" baseField="0" baseItem="0"/>
  </dataFields>
  <formats count="1">
    <format dxfId="6">
      <pivotArea outline="0" collapsedLevelsAreSubtotals="1" fieldPosition="0">
        <references count="1">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34A68-4567-41DB-A778-A38D962AA6D9}" name="PivotTable45"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showAll="0"/>
    <pivotField dataField="1" showAll="0"/>
    <pivotField showAll="0"/>
    <pivotField showAll="0"/>
    <pivotField showAll="0"/>
    <pivotField showAll="0"/>
    <pivotField outline="0" showAll="0">
      <items count="15">
        <item h="1" x="0"/>
        <item h="1" x="1"/>
        <item h="1" x="2"/>
        <item h="1" x="3"/>
        <item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Fuel_Cost_NGN" fld="4" baseField="0" baseItem="0"/>
  </dataFields>
  <formats count="1">
    <format dxfId="7">
      <pivotArea outline="0" collapsedLevelsAreSubtotals="1" fieldPosition="0">
        <references count="1">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F89B36-D8A2-401F-B2B1-4F85F8AF81CA}" name="PivotTable1"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0">
    <pivotField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outline="0" showAll="0">
      <items count="5">
        <item x="2"/>
        <item x="3"/>
        <item x="0"/>
        <item x="1"/>
        <item t="default"/>
      </items>
    </pivotField>
    <pivotField showAll="0"/>
    <pivotField showAll="0"/>
    <pivotField showAll="0"/>
    <pivotField showAll="0"/>
    <pivotField dataField="1" showAll="0"/>
    <pivotField showAll="0"/>
    <pivotField showAll="0"/>
    <pivotField outline="0" showAll="0" sortType="descending">
      <items count="15">
        <item h="1" x="0"/>
        <item h="1" x="1"/>
        <item h="1" x="2"/>
        <item h="1" x="3"/>
        <item x="4"/>
        <item h="1" x="5"/>
        <item h="1" x="6"/>
        <item h="1" x="7"/>
        <item h="1" x="8"/>
        <item h="1" x="9"/>
        <item h="1" x="10"/>
        <item h="1" x="11"/>
        <item h="1" x="12"/>
        <item h="1" x="13"/>
        <item t="default"/>
      </items>
      <autoSortScope>
        <pivotArea dataOnly="0" outline="0" fieldPosition="0">
          <references count="1">
            <reference field="4294967294" count="1" selected="0">
              <x v="0"/>
            </reference>
          </references>
        </pivotArea>
      </autoSortScope>
    </pivotField>
  </pivotFields>
  <rowFields count="1">
    <field x="1"/>
  </rowFields>
  <rowItems count="5">
    <i>
      <x/>
    </i>
    <i>
      <x v="1"/>
    </i>
    <i>
      <x v="2"/>
    </i>
    <i>
      <x v="3"/>
    </i>
    <i t="grand">
      <x/>
    </i>
  </rowItems>
  <colItems count="1">
    <i/>
  </colItems>
  <dataFields count="1">
    <dataField name="Sum of Revenue_NGN" fld="6" baseField="0" baseItem="0"/>
  </dataFields>
  <formats count="1">
    <format dxfId="8">
      <pivotArea outline="0" collapsedLevelsAreSubtotals="1" fieldPosition="0">
        <references count="1">
          <reference field="1" count="0" selected="0"/>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4E5DEA28-4147-47FB-B698-16D9D25CEDA2}" sourceName="Plant">
  <pivotTables>
    <pivotTable tabId="2" name="PivotTable1"/>
    <pivotTable tabId="2" name="PivotTable45"/>
    <pivotTable tabId="2" name="PivotTable46"/>
    <pivotTable tabId="2" name="PivotTable47"/>
    <pivotTable tabId="2" name="PivotTable48"/>
    <pivotTable tabId="2" name="PivotTable50"/>
    <pivotTable tabId="2" name="PivotTable51"/>
    <pivotTable tabId="2" name="PivotTable52"/>
  </pivotTables>
  <data>
    <tabular pivotCacheId="4317476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B829D14-57D2-44CA-8C9C-3B5BBF95AB6A}" sourceName="Months (Date)">
  <pivotTables>
    <pivotTable tabId="2" name="PivotTable1"/>
    <pivotTable tabId="2" name="PivotTable45"/>
    <pivotTable tabId="2" name="PivotTable46"/>
    <pivotTable tabId="2" name="PivotTable47"/>
    <pivotTable tabId="2" name="PivotTable48"/>
    <pivotTable tabId="2" name="PivotTable50"/>
    <pivotTable tabId="2" name="PivotTable51"/>
    <pivotTable tabId="2" name="PivotTable52"/>
  </pivotTables>
  <data>
    <tabular pivotCacheId="431747663">
      <items count="14">
        <i x="1"/>
        <i x="2"/>
        <i x="3"/>
        <i x="4" s="1"/>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B8E79CEF-7FAC-4881-B1E8-41E06ADE4FC1}" cache="Slicer_Plant" caption="Plant" style="SlicerStyleLight1" rowHeight="241300"/>
  <slicer name="Months (Date)" xr10:uid="{5FC2CC40-AC39-4324-B48B-7E08501B6505}" cache="Slicer_Months__Date" caption="Months (Date)" style="SlicerStyleLight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8D14F5-28AA-405B-907F-915F7DB060B8}">
  <we:reference id="WA200005502" version="1.0.0.13" store="Omex" storeType="OMEX"/>
  <we:alternateReferences>
    <we:reference id="WA200005502" version="1.0.0.13" store="WA200005502" storeType="OMEX"/>
  </we:alternateReferences>
  <we:properties>
    <we:property name="docId" value="&quot;3mM8uElIsenyCzUBy9Lo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02B49-3AA1-4D32-A914-E852C0F2E454}">
  <sheetPr codeName="Sheet1"/>
  <dimension ref="A1"/>
  <sheetViews>
    <sheetView showGridLines="0" tabSelected="1" workbookViewId="0">
      <selection activeCell="B28" sqref="B28"/>
    </sheetView>
  </sheetViews>
  <sheetFormatPr defaultRowHeight="14.5" x14ac:dyDescent="0.35"/>
  <cols>
    <col min="1" max="16384" width="8.7265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2370-9E2D-4ECD-B7B8-4D1370DC3E2A}">
  <sheetPr codeName="Sheet2"/>
  <dimension ref="A2:N22"/>
  <sheetViews>
    <sheetView topLeftCell="C1" workbookViewId="0">
      <selection activeCell="B10" sqref="B10"/>
    </sheetView>
  </sheetViews>
  <sheetFormatPr defaultRowHeight="14.5" x14ac:dyDescent="0.35"/>
  <cols>
    <col min="1" max="1" width="16.81640625" bestFit="1" customWidth="1"/>
    <col min="2" max="2" width="19.26953125" bestFit="1" customWidth="1"/>
    <col min="3" max="3" width="0.81640625" customWidth="1"/>
    <col min="4" max="4" width="12.36328125" bestFit="1" customWidth="1"/>
    <col min="5" max="6" width="19.26953125" bestFit="1" customWidth="1"/>
    <col min="7" max="7" width="16.81640625" bestFit="1" customWidth="1"/>
    <col min="8" max="8" width="19.26953125" bestFit="1" customWidth="1"/>
    <col min="9" max="9" width="1.36328125" customWidth="1"/>
    <col min="10" max="10" width="16.81640625" bestFit="1" customWidth="1"/>
    <col min="11" max="11" width="22.08984375" bestFit="1" customWidth="1"/>
    <col min="12" max="12" width="5.54296875" bestFit="1" customWidth="1"/>
    <col min="13" max="13" width="16.81640625" bestFit="1" customWidth="1"/>
    <col min="14" max="14" width="11.81640625" bestFit="1" customWidth="1"/>
    <col min="15" max="15" width="10.7265625" bestFit="1" customWidth="1"/>
    <col min="16" max="32" width="9.453125" bestFit="1" customWidth="1"/>
    <col min="33" max="41" width="8.453125" bestFit="1" customWidth="1"/>
    <col min="42" max="60" width="9.453125" bestFit="1" customWidth="1"/>
    <col min="61" max="69" width="8.453125" bestFit="1" customWidth="1"/>
    <col min="70" max="91" width="9.453125" bestFit="1" customWidth="1"/>
    <col min="92" max="100" width="8.453125" bestFit="1" customWidth="1"/>
    <col min="101" max="121" width="9.453125" bestFit="1" customWidth="1"/>
    <col min="122" max="130" width="8.453125" bestFit="1" customWidth="1"/>
    <col min="131" max="152" width="9.453125" bestFit="1" customWidth="1"/>
    <col min="153" max="161" width="8.453125" bestFit="1" customWidth="1"/>
    <col min="162" max="182" width="9.453125" bestFit="1" customWidth="1"/>
    <col min="183" max="191" width="8.453125" bestFit="1" customWidth="1"/>
    <col min="192" max="213" width="9.453125" bestFit="1" customWidth="1"/>
    <col min="214" max="222" width="8.453125" bestFit="1" customWidth="1"/>
    <col min="223" max="244" width="9.453125" bestFit="1" customWidth="1"/>
    <col min="245" max="253" width="8.453125" bestFit="1" customWidth="1"/>
    <col min="254" max="283" width="9.453125" bestFit="1" customWidth="1"/>
    <col min="284" max="305" width="10.453125" bestFit="1" customWidth="1"/>
    <col min="306" max="314" width="9.453125" bestFit="1" customWidth="1"/>
    <col min="315" max="335" width="10.453125" bestFit="1" customWidth="1"/>
    <col min="336" max="344" width="9.453125" bestFit="1" customWidth="1"/>
    <col min="345" max="366" width="10.453125" bestFit="1" customWidth="1"/>
    <col min="367" max="367" width="6.7265625" bestFit="1" customWidth="1"/>
    <col min="368" max="368" width="10.7265625" bestFit="1" customWidth="1"/>
  </cols>
  <sheetData>
    <row r="2" spans="1:14" x14ac:dyDescent="0.35">
      <c r="A2" s="2" t="s">
        <v>16</v>
      </c>
    </row>
    <row r="3" spans="1:14" x14ac:dyDescent="0.35">
      <c r="A3" s="3" t="s">
        <v>12</v>
      </c>
      <c r="B3" t="s">
        <v>15</v>
      </c>
      <c r="D3" s="3" t="s">
        <v>12</v>
      </c>
      <c r="E3" t="s">
        <v>69</v>
      </c>
      <c r="G3" s="3" t="s">
        <v>12</v>
      </c>
      <c r="H3" t="s">
        <v>18</v>
      </c>
      <c r="J3" s="3" t="s">
        <v>12</v>
      </c>
      <c r="K3" t="s">
        <v>70</v>
      </c>
    </row>
    <row r="4" spans="1:14" x14ac:dyDescent="0.35">
      <c r="A4" t="s">
        <v>10</v>
      </c>
      <c r="B4" s="31">
        <v>15003964.010000002</v>
      </c>
      <c r="D4" t="s">
        <v>10</v>
      </c>
      <c r="E4" s="31">
        <v>6325382.8399999999</v>
      </c>
      <c r="G4" t="s">
        <v>10</v>
      </c>
      <c r="H4" s="31">
        <v>2358800.4900000002</v>
      </c>
      <c r="J4" t="s">
        <v>10</v>
      </c>
      <c r="K4" s="33">
        <v>0.26153846153846155</v>
      </c>
      <c r="M4" t="s">
        <v>10</v>
      </c>
      <c r="N4">
        <f>GETPIVOTDATA("Maintenance_Cost_NGN",$G$3,"Plant","Abuja Plant")</f>
        <v>2358800.4900000002</v>
      </c>
    </row>
    <row r="5" spans="1:14" x14ac:dyDescent="0.35">
      <c r="A5" t="s">
        <v>11</v>
      </c>
      <c r="B5" s="31">
        <v>19727114.009999998</v>
      </c>
      <c r="D5" t="s">
        <v>11</v>
      </c>
      <c r="E5" s="31">
        <v>8205304.6699999981</v>
      </c>
      <c r="G5" t="s">
        <v>11</v>
      </c>
      <c r="H5" s="31">
        <v>3987179.6300000004</v>
      </c>
      <c r="J5" t="s">
        <v>11</v>
      </c>
      <c r="K5" s="33">
        <v>0.43846153846153846</v>
      </c>
      <c r="M5" t="s">
        <v>11</v>
      </c>
      <c r="N5">
        <f>GETPIVOTDATA("Maintenance_Cost_NGN",$G$3,"Plant","Kano Plant")</f>
        <v>3987179.6300000004</v>
      </c>
    </row>
    <row r="6" spans="1:14" x14ac:dyDescent="0.35">
      <c r="A6" t="s">
        <v>8</v>
      </c>
      <c r="B6" s="31">
        <v>15082178.640000001</v>
      </c>
      <c r="D6" t="s">
        <v>8</v>
      </c>
      <c r="E6" s="31">
        <v>6509175.9699999988</v>
      </c>
      <c r="G6" t="s">
        <v>8</v>
      </c>
      <c r="H6" s="31">
        <v>2381592.6000000006</v>
      </c>
      <c r="J6" t="s">
        <v>8</v>
      </c>
      <c r="K6" s="33">
        <v>0.19230769230769232</v>
      </c>
      <c r="M6" t="s">
        <v>8</v>
      </c>
      <c r="N6">
        <f>GETPIVOTDATA("Maintenance_Cost_NGN",$G$3,"Plant","Lagos Plant")</f>
        <v>2381592.6000000006</v>
      </c>
    </row>
    <row r="7" spans="1:14" x14ac:dyDescent="0.35">
      <c r="A7" t="s">
        <v>9</v>
      </c>
      <c r="B7" s="31">
        <v>12127040.380000001</v>
      </c>
      <c r="D7" t="s">
        <v>9</v>
      </c>
      <c r="E7" s="31">
        <v>4975682.3399999989</v>
      </c>
      <c r="G7" t="s">
        <v>9</v>
      </c>
      <c r="H7" s="31">
        <v>1758682.86</v>
      </c>
      <c r="J7" t="s">
        <v>9</v>
      </c>
      <c r="K7" s="33">
        <v>0.1076923076923077</v>
      </c>
      <c r="M7" t="s">
        <v>76</v>
      </c>
      <c r="N7">
        <f>GETPIVOTDATA("Maintenance_Cost_NGN",$G$3,"Plant","Port Harcourt Plant")</f>
        <v>1758682.86</v>
      </c>
    </row>
    <row r="8" spans="1:14" x14ac:dyDescent="0.35">
      <c r="A8" t="s">
        <v>13</v>
      </c>
      <c r="B8" s="30">
        <v>61940297.039999999</v>
      </c>
      <c r="D8" t="s">
        <v>13</v>
      </c>
      <c r="E8" s="30">
        <v>26015545.819999997</v>
      </c>
      <c r="G8" t="s">
        <v>13</v>
      </c>
      <c r="H8" s="30">
        <v>10486255.580000002</v>
      </c>
      <c r="J8" t="s">
        <v>13</v>
      </c>
      <c r="K8" s="33">
        <v>1</v>
      </c>
    </row>
    <row r="10" spans="1:14" x14ac:dyDescent="0.35">
      <c r="A10" t="s">
        <v>10</v>
      </c>
      <c r="B10">
        <f>GETPIVOTDATA("Revenue_NGN",$A$3,"Plant","Abuja Plant")</f>
        <v>15003964.010000002</v>
      </c>
      <c r="D10" s="3" t="s">
        <v>12</v>
      </c>
      <c r="E10" t="s">
        <v>15</v>
      </c>
      <c r="G10" s="3" t="s">
        <v>12</v>
      </c>
      <c r="H10" t="s">
        <v>17</v>
      </c>
    </row>
    <row r="11" spans="1:14" x14ac:dyDescent="0.35">
      <c r="A11" t="s">
        <v>11</v>
      </c>
      <c r="B11">
        <f>GETPIVOTDATA("Revenue_NGN",$A$3,"Plant","Kano Plant")</f>
        <v>19727114.009999998</v>
      </c>
      <c r="D11" t="s">
        <v>14</v>
      </c>
      <c r="E11" s="30">
        <v>61940297.039999999</v>
      </c>
      <c r="G11" t="s">
        <v>10</v>
      </c>
      <c r="H11" s="31">
        <v>15058.550000000001</v>
      </c>
      <c r="J11" s="32" t="s">
        <v>10</v>
      </c>
      <c r="K11" s="39">
        <f>GETPIVOTDATA("Downtime_Hours",$J$3,"Plant","Abuja Plant")</f>
        <v>0.26153846153846155</v>
      </c>
    </row>
    <row r="12" spans="1:14" x14ac:dyDescent="0.35">
      <c r="A12" t="s">
        <v>8</v>
      </c>
      <c r="B12">
        <f>GETPIVOTDATA("Revenue_NGN",$A$3,"Plant","Lagos Plant")</f>
        <v>15082178.640000001</v>
      </c>
      <c r="D12" t="s">
        <v>13</v>
      </c>
      <c r="E12" s="30">
        <v>61940297.039999999</v>
      </c>
      <c r="G12" t="s">
        <v>11</v>
      </c>
      <c r="H12" s="31">
        <v>19673.23</v>
      </c>
      <c r="J12" s="32" t="s">
        <v>11</v>
      </c>
      <c r="K12" s="39">
        <f>GETPIVOTDATA("Downtime_Hours",$J$3,"Plant","Kano Plant")</f>
        <v>0.43846153846153846</v>
      </c>
    </row>
    <row r="13" spans="1:14" x14ac:dyDescent="0.35">
      <c r="A13" t="s">
        <v>9</v>
      </c>
      <c r="B13">
        <f>GETPIVOTDATA("Revenue_NGN",$A$3,"Plant","Port Harcourt Plant")</f>
        <v>12127040.380000001</v>
      </c>
      <c r="G13" t="s">
        <v>8</v>
      </c>
      <c r="H13" s="31">
        <v>15239.600000000002</v>
      </c>
      <c r="J13" s="32" t="s">
        <v>8</v>
      </c>
      <c r="K13" s="39">
        <f>GETPIVOTDATA("Downtime_Hours",$J$3,"Plant","Lagos Plant")</f>
        <v>0.19230769230769232</v>
      </c>
    </row>
    <row r="14" spans="1:14" x14ac:dyDescent="0.35">
      <c r="G14" t="s">
        <v>9</v>
      </c>
      <c r="H14" s="31">
        <v>11852.769999999999</v>
      </c>
      <c r="J14" s="32" t="s">
        <v>9</v>
      </c>
      <c r="K14" s="39">
        <f>GETPIVOTDATA("Downtime_Hours",$J$3,"Plant","Port Harcourt Plant")</f>
        <v>0.1076923076923077</v>
      </c>
    </row>
    <row r="15" spans="1:14" x14ac:dyDescent="0.35">
      <c r="G15" t="s">
        <v>13</v>
      </c>
      <c r="H15" s="30">
        <v>61824.15</v>
      </c>
    </row>
    <row r="16" spans="1:14" x14ac:dyDescent="0.35">
      <c r="A16" s="36">
        <f>GETPIVOTDATA("Revenue_NGN",$A$3)</f>
        <v>61940297.039999999</v>
      </c>
      <c r="B16" t="s">
        <v>71</v>
      </c>
      <c r="J16" s="32"/>
      <c r="K16" s="36"/>
    </row>
    <row r="17" spans="1:11" x14ac:dyDescent="0.35">
      <c r="A17" s="36">
        <f>GETPIVOTDATA("Fuel_Cost_NGN",$D$3)</f>
        <v>26015545.819999997</v>
      </c>
      <c r="B17" t="s">
        <v>72</v>
      </c>
      <c r="G17" s="3" t="s">
        <v>12</v>
      </c>
      <c r="H17" t="s">
        <v>15</v>
      </c>
      <c r="J17" s="3" t="s">
        <v>12</v>
      </c>
      <c r="K17" t="s">
        <v>70</v>
      </c>
    </row>
    <row r="18" spans="1:11" x14ac:dyDescent="0.35">
      <c r="A18" s="36">
        <f>GETPIVOTDATA("Maintenance_Cost_NGN",$G$3)</f>
        <v>10486255.580000002</v>
      </c>
      <c r="B18" t="s">
        <v>73</v>
      </c>
      <c r="G18" t="s">
        <v>10</v>
      </c>
      <c r="H18" s="33">
        <v>0.24223267770754625</v>
      </c>
      <c r="J18" t="s">
        <v>10</v>
      </c>
      <c r="K18" s="31">
        <v>34</v>
      </c>
    </row>
    <row r="19" spans="1:11" x14ac:dyDescent="0.35">
      <c r="A19" s="37">
        <f>GETPIVOTDATA("Energy_Generated_MWh",$G$10)</f>
        <v>61824.15</v>
      </c>
      <c r="B19" t="s">
        <v>74</v>
      </c>
      <c r="G19" t="s">
        <v>11</v>
      </c>
      <c r="H19" s="33">
        <v>0.31848594457434648</v>
      </c>
      <c r="J19" t="s">
        <v>11</v>
      </c>
      <c r="K19" s="31">
        <v>57</v>
      </c>
    </row>
    <row r="20" spans="1:11" x14ac:dyDescent="0.35">
      <c r="A20" s="38">
        <f>GETPIVOTDATA("Downtime_Hours",$J$17)</f>
        <v>130</v>
      </c>
      <c r="B20" t="s">
        <v>75</v>
      </c>
      <c r="G20" t="s">
        <v>8</v>
      </c>
      <c r="H20" s="33">
        <v>0.24349541995673971</v>
      </c>
      <c r="J20" t="s">
        <v>8</v>
      </c>
      <c r="K20" s="31">
        <v>25</v>
      </c>
    </row>
    <row r="21" spans="1:11" x14ac:dyDescent="0.35">
      <c r="G21" t="s">
        <v>9</v>
      </c>
      <c r="H21" s="33">
        <v>0.19578595776136756</v>
      </c>
      <c r="J21" t="s">
        <v>9</v>
      </c>
      <c r="K21" s="31">
        <v>14</v>
      </c>
    </row>
    <row r="22" spans="1:11" x14ac:dyDescent="0.35">
      <c r="G22" t="s">
        <v>13</v>
      </c>
      <c r="H22" s="33">
        <v>1</v>
      </c>
      <c r="J22" t="s">
        <v>13</v>
      </c>
      <c r="K22" s="30">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C6D0-B537-43F9-ABEE-98341660238D}">
  <sheetPr codeName="Sheet3"/>
  <dimension ref="A1:H501"/>
  <sheetViews>
    <sheetView workbookViewId="0">
      <selection activeCell="J9" sqref="J9"/>
    </sheetView>
  </sheetViews>
  <sheetFormatPr defaultRowHeight="14.5" x14ac:dyDescent="0.35"/>
  <cols>
    <col min="1" max="1" width="10.453125" bestFit="1" customWidth="1"/>
    <col min="2" max="2" width="16.81640625" bestFit="1" customWidth="1"/>
    <col min="3" max="3" width="22.1796875" bestFit="1" customWidth="1"/>
    <col min="4" max="4" width="15.54296875" bestFit="1" customWidth="1"/>
    <col min="5" max="5" width="13.81640625" bestFit="1" customWidth="1"/>
    <col min="6" max="6" width="21.453125" bestFit="1" customWidth="1"/>
    <col min="7" max="7" width="12.90625" bestFit="1" customWidth="1"/>
    <col min="8" max="8" width="14.26953125" bestFit="1" customWidth="1"/>
  </cols>
  <sheetData>
    <row r="1" spans="1:8" s="2" customFormat="1" x14ac:dyDescent="0.35">
      <c r="A1" s="2" t="s">
        <v>0</v>
      </c>
      <c r="B1" s="2" t="s">
        <v>1</v>
      </c>
      <c r="C1" s="2" t="s">
        <v>2</v>
      </c>
      <c r="D1" s="2" t="s">
        <v>3</v>
      </c>
      <c r="E1" s="2" t="s">
        <v>4</v>
      </c>
      <c r="F1" s="2" t="s">
        <v>5</v>
      </c>
      <c r="G1" s="2" t="s">
        <v>6</v>
      </c>
      <c r="H1" s="2" t="s">
        <v>7</v>
      </c>
    </row>
    <row r="2" spans="1:8" x14ac:dyDescent="0.35">
      <c r="A2" s="1">
        <v>45658</v>
      </c>
      <c r="B2" t="s">
        <v>8</v>
      </c>
      <c r="C2">
        <v>1274.51</v>
      </c>
      <c r="D2">
        <v>2</v>
      </c>
      <c r="E2">
        <v>475899.91</v>
      </c>
      <c r="F2">
        <v>98712.54</v>
      </c>
      <c r="G2">
        <v>1461184.77</v>
      </c>
      <c r="H2">
        <v>2.2179999999999999E-3</v>
      </c>
    </row>
    <row r="3" spans="1:8" x14ac:dyDescent="0.35">
      <c r="A3" s="1">
        <v>45659</v>
      </c>
      <c r="B3" t="s">
        <v>8</v>
      </c>
      <c r="C3">
        <v>1179.26</v>
      </c>
      <c r="D3">
        <v>2</v>
      </c>
      <c r="E3">
        <v>584307.56000000006</v>
      </c>
      <c r="F3">
        <v>214866.4</v>
      </c>
      <c r="G3">
        <v>1043569.52</v>
      </c>
      <c r="H3">
        <v>1.4760000000000001E-3</v>
      </c>
    </row>
    <row r="4" spans="1:8" x14ac:dyDescent="0.35">
      <c r="A4" s="1">
        <v>45660</v>
      </c>
      <c r="B4" t="s">
        <v>9</v>
      </c>
      <c r="C4">
        <v>1030.49</v>
      </c>
      <c r="D4">
        <v>2</v>
      </c>
      <c r="E4">
        <v>405686.76</v>
      </c>
      <c r="F4">
        <v>181777.93</v>
      </c>
      <c r="G4">
        <v>881888.54</v>
      </c>
      <c r="H4">
        <v>1.7539999999999999E-3</v>
      </c>
    </row>
    <row r="5" spans="1:8" x14ac:dyDescent="0.35">
      <c r="A5" s="1">
        <v>45661</v>
      </c>
      <c r="B5" t="s">
        <v>10</v>
      </c>
      <c r="C5">
        <v>930.14</v>
      </c>
      <c r="D5">
        <v>1</v>
      </c>
      <c r="E5">
        <v>389180.56</v>
      </c>
      <c r="F5">
        <v>187776.39</v>
      </c>
      <c r="G5">
        <v>818402.3</v>
      </c>
      <c r="H5">
        <v>1.6119999999999999E-3</v>
      </c>
    </row>
    <row r="6" spans="1:8" x14ac:dyDescent="0.35">
      <c r="A6" s="1">
        <v>45662</v>
      </c>
      <c r="B6" t="s">
        <v>10</v>
      </c>
      <c r="C6">
        <v>1383.92</v>
      </c>
      <c r="D6">
        <v>0</v>
      </c>
      <c r="E6">
        <v>610492.43000000005</v>
      </c>
      <c r="F6">
        <v>75578.62</v>
      </c>
      <c r="G6">
        <v>1143149.1299999999</v>
      </c>
      <c r="H6">
        <v>2.0170000000000001E-3</v>
      </c>
    </row>
    <row r="7" spans="1:8" x14ac:dyDescent="0.35">
      <c r="A7" s="1">
        <v>45663</v>
      </c>
      <c r="B7" t="s">
        <v>10</v>
      </c>
      <c r="C7">
        <v>1059.1300000000001</v>
      </c>
      <c r="D7">
        <v>4</v>
      </c>
      <c r="E7">
        <v>479401.5</v>
      </c>
      <c r="F7">
        <v>196022.87</v>
      </c>
      <c r="G7">
        <v>899009.95</v>
      </c>
      <c r="H7">
        <v>1.5679999999999999E-3</v>
      </c>
    </row>
    <row r="8" spans="1:8" x14ac:dyDescent="0.35">
      <c r="A8" s="1">
        <v>45664</v>
      </c>
      <c r="B8" t="s">
        <v>8</v>
      </c>
      <c r="C8">
        <v>1119.95</v>
      </c>
      <c r="D8">
        <v>3</v>
      </c>
      <c r="E8">
        <v>479351.17</v>
      </c>
      <c r="F8">
        <v>192006.54</v>
      </c>
      <c r="G8">
        <v>978773.44</v>
      </c>
      <c r="H8">
        <v>1.668E-3</v>
      </c>
    </row>
    <row r="9" spans="1:8" x14ac:dyDescent="0.35">
      <c r="A9" s="1">
        <v>45665</v>
      </c>
      <c r="B9" t="s">
        <v>8</v>
      </c>
      <c r="C9">
        <v>1199.17</v>
      </c>
      <c r="D9">
        <v>6</v>
      </c>
      <c r="E9">
        <v>454962.33</v>
      </c>
      <c r="F9">
        <v>176784.09</v>
      </c>
      <c r="G9">
        <v>1115387.31</v>
      </c>
      <c r="H9">
        <v>1.8979999999999999E-3</v>
      </c>
    </row>
    <row r="10" spans="1:8" x14ac:dyDescent="0.35">
      <c r="A10" s="1">
        <v>45666</v>
      </c>
      <c r="B10" t="s">
        <v>11</v>
      </c>
      <c r="C10">
        <v>678.22</v>
      </c>
      <c r="D10">
        <v>2</v>
      </c>
      <c r="E10">
        <v>292587.83</v>
      </c>
      <c r="F10">
        <v>111138.63</v>
      </c>
      <c r="G10">
        <v>760204.32</v>
      </c>
      <c r="H10">
        <v>1.6800000000000001E-3</v>
      </c>
    </row>
    <row r="11" spans="1:8" x14ac:dyDescent="0.35">
      <c r="A11" s="1">
        <v>45667</v>
      </c>
      <c r="B11" t="s">
        <v>8</v>
      </c>
      <c r="C11">
        <v>1092.02</v>
      </c>
      <c r="D11">
        <v>0</v>
      </c>
      <c r="E11">
        <v>543863.72</v>
      </c>
      <c r="F11">
        <v>165836.72</v>
      </c>
      <c r="G11">
        <v>960419.56</v>
      </c>
      <c r="H11">
        <v>1.539E-3</v>
      </c>
    </row>
    <row r="12" spans="1:8" x14ac:dyDescent="0.35">
      <c r="A12" s="1">
        <v>45668</v>
      </c>
      <c r="B12" t="s">
        <v>8</v>
      </c>
      <c r="C12">
        <v>1354.65</v>
      </c>
      <c r="D12">
        <v>1</v>
      </c>
      <c r="E12">
        <v>546966.81000000006</v>
      </c>
      <c r="F12">
        <v>87380.36</v>
      </c>
      <c r="G12">
        <v>1551401.14</v>
      </c>
      <c r="H12">
        <v>2.1359999999999999E-3</v>
      </c>
    </row>
    <row r="13" spans="1:8" x14ac:dyDescent="0.35">
      <c r="A13" s="1">
        <v>45669</v>
      </c>
      <c r="B13" t="s">
        <v>8</v>
      </c>
      <c r="C13">
        <v>1339.69</v>
      </c>
      <c r="D13">
        <v>2</v>
      </c>
      <c r="E13">
        <v>531385.29</v>
      </c>
      <c r="F13">
        <v>138777.5</v>
      </c>
      <c r="G13">
        <v>1462732.64</v>
      </c>
      <c r="H13">
        <v>1.9989999999999999E-3</v>
      </c>
    </row>
    <row r="14" spans="1:8" x14ac:dyDescent="0.35">
      <c r="A14" s="1">
        <v>45670</v>
      </c>
      <c r="B14" t="s">
        <v>10</v>
      </c>
      <c r="C14">
        <v>1125.22</v>
      </c>
      <c r="D14">
        <v>1</v>
      </c>
      <c r="E14">
        <v>514210.28</v>
      </c>
      <c r="F14">
        <v>184117.76000000001</v>
      </c>
      <c r="G14">
        <v>1152799.43</v>
      </c>
      <c r="H14">
        <v>1.611E-3</v>
      </c>
    </row>
    <row r="15" spans="1:8" x14ac:dyDescent="0.35">
      <c r="A15" s="1">
        <v>45671</v>
      </c>
      <c r="B15" t="s">
        <v>10</v>
      </c>
      <c r="C15">
        <v>1044.48</v>
      </c>
      <c r="D15">
        <v>3</v>
      </c>
      <c r="E15">
        <v>369551.95</v>
      </c>
      <c r="F15">
        <v>126183.71</v>
      </c>
      <c r="G15">
        <v>848718.28</v>
      </c>
      <c r="H15">
        <v>2.1069999999999999E-3</v>
      </c>
    </row>
    <row r="16" spans="1:8" x14ac:dyDescent="0.35">
      <c r="A16" s="1">
        <v>45672</v>
      </c>
      <c r="B16" t="s">
        <v>8</v>
      </c>
      <c r="C16">
        <v>987.19</v>
      </c>
      <c r="D16">
        <v>2</v>
      </c>
      <c r="E16">
        <v>406284.33</v>
      </c>
      <c r="F16">
        <v>203332.67</v>
      </c>
      <c r="G16">
        <v>880096.61</v>
      </c>
      <c r="H16">
        <v>1.619E-3</v>
      </c>
    </row>
    <row r="17" spans="1:8" x14ac:dyDescent="0.35">
      <c r="A17" s="1">
        <v>45673</v>
      </c>
      <c r="B17" t="s">
        <v>10</v>
      </c>
      <c r="C17">
        <v>1156.3699999999999</v>
      </c>
      <c r="D17">
        <v>0</v>
      </c>
      <c r="E17">
        <v>454989.96</v>
      </c>
      <c r="F17">
        <v>74183.19</v>
      </c>
      <c r="G17">
        <v>1355130.18</v>
      </c>
      <c r="H17">
        <v>2.1849999999999999E-3</v>
      </c>
    </row>
    <row r="18" spans="1:8" x14ac:dyDescent="0.35">
      <c r="A18" s="1">
        <v>45674</v>
      </c>
      <c r="B18" t="s">
        <v>11</v>
      </c>
      <c r="C18">
        <v>975.22</v>
      </c>
      <c r="D18">
        <v>2</v>
      </c>
      <c r="E18">
        <v>471891.88</v>
      </c>
      <c r="F18">
        <v>170901.34</v>
      </c>
      <c r="G18">
        <v>1095145.6299999999</v>
      </c>
      <c r="H18">
        <v>1.5169999999999999E-3</v>
      </c>
    </row>
    <row r="19" spans="1:8" x14ac:dyDescent="0.35">
      <c r="A19" s="1">
        <v>45675</v>
      </c>
      <c r="B19" t="s">
        <v>10</v>
      </c>
      <c r="C19">
        <v>1173.73</v>
      </c>
      <c r="D19">
        <v>2</v>
      </c>
      <c r="E19">
        <v>450934.88</v>
      </c>
      <c r="F19">
        <v>154066.17000000001</v>
      </c>
      <c r="G19">
        <v>1323033.1299999999</v>
      </c>
      <c r="H19">
        <v>1.9400000000000001E-3</v>
      </c>
    </row>
    <row r="20" spans="1:8" x14ac:dyDescent="0.35">
      <c r="A20" s="1">
        <v>45676</v>
      </c>
      <c r="B20" t="s">
        <v>11</v>
      </c>
      <c r="C20">
        <v>501.72</v>
      </c>
      <c r="D20">
        <v>1</v>
      </c>
      <c r="E20">
        <v>201011.68</v>
      </c>
      <c r="F20">
        <v>211436.46</v>
      </c>
      <c r="G20">
        <v>466242.29</v>
      </c>
      <c r="H20">
        <v>1.2160000000000001E-3</v>
      </c>
    </row>
    <row r="21" spans="1:8" x14ac:dyDescent="0.35">
      <c r="A21" s="1">
        <v>45677</v>
      </c>
      <c r="B21" t="s">
        <v>9</v>
      </c>
      <c r="C21">
        <v>1151.83</v>
      </c>
      <c r="D21">
        <v>2</v>
      </c>
      <c r="E21">
        <v>571038.52</v>
      </c>
      <c r="F21">
        <v>234367.09</v>
      </c>
      <c r="G21">
        <v>1037466.08</v>
      </c>
      <c r="H21">
        <v>1.4300000000000001E-3</v>
      </c>
    </row>
    <row r="22" spans="1:8" x14ac:dyDescent="0.35">
      <c r="A22" s="1">
        <v>45678</v>
      </c>
      <c r="B22" t="s">
        <v>8</v>
      </c>
      <c r="C22">
        <v>912.18</v>
      </c>
      <c r="D22">
        <v>1</v>
      </c>
      <c r="E22">
        <v>402669.77</v>
      </c>
      <c r="F22">
        <v>145401.85</v>
      </c>
      <c r="G22">
        <v>748530.7</v>
      </c>
      <c r="H22">
        <v>1.6639999999999999E-3</v>
      </c>
    </row>
    <row r="23" spans="1:8" x14ac:dyDescent="0.35">
      <c r="A23" s="1">
        <v>45679</v>
      </c>
      <c r="B23" t="s">
        <v>10</v>
      </c>
      <c r="C23">
        <v>996.02</v>
      </c>
      <c r="D23">
        <v>2</v>
      </c>
      <c r="E23">
        <v>370255.81</v>
      </c>
      <c r="F23">
        <v>163417.91</v>
      </c>
      <c r="G23">
        <v>1189510.51</v>
      </c>
      <c r="H23">
        <v>1.866E-3</v>
      </c>
    </row>
    <row r="24" spans="1:8" x14ac:dyDescent="0.35">
      <c r="A24" s="1">
        <v>45680</v>
      </c>
      <c r="B24" t="s">
        <v>11</v>
      </c>
      <c r="C24">
        <v>1015.09</v>
      </c>
      <c r="D24">
        <v>2</v>
      </c>
      <c r="E24">
        <v>411283.28</v>
      </c>
      <c r="F24">
        <v>184845.87</v>
      </c>
      <c r="G24">
        <v>1069312.6399999999</v>
      </c>
      <c r="H24">
        <v>1.7030000000000001E-3</v>
      </c>
    </row>
    <row r="25" spans="1:8" x14ac:dyDescent="0.35">
      <c r="A25" s="1">
        <v>45681</v>
      </c>
      <c r="B25" t="s">
        <v>9</v>
      </c>
      <c r="C25">
        <v>927.53</v>
      </c>
      <c r="D25">
        <v>1</v>
      </c>
      <c r="E25">
        <v>440851.25</v>
      </c>
      <c r="F25">
        <v>118117.01</v>
      </c>
      <c r="G25">
        <v>811225.58</v>
      </c>
      <c r="H25">
        <v>1.6590000000000001E-3</v>
      </c>
    </row>
    <row r="26" spans="1:8" x14ac:dyDescent="0.35">
      <c r="A26" s="1">
        <v>45682</v>
      </c>
      <c r="B26" t="s">
        <v>9</v>
      </c>
      <c r="C26">
        <v>1114.95</v>
      </c>
      <c r="D26">
        <v>1</v>
      </c>
      <c r="E26">
        <v>475875.24</v>
      </c>
      <c r="F26">
        <v>103974.37</v>
      </c>
      <c r="G26">
        <v>1179691.73</v>
      </c>
      <c r="H26">
        <v>1.923E-3</v>
      </c>
    </row>
    <row r="27" spans="1:8" x14ac:dyDescent="0.35">
      <c r="A27" s="1">
        <v>45683</v>
      </c>
      <c r="B27" t="s">
        <v>10</v>
      </c>
      <c r="C27">
        <v>924.48</v>
      </c>
      <c r="D27">
        <v>1</v>
      </c>
      <c r="E27">
        <v>377196.81</v>
      </c>
      <c r="F27">
        <v>210509.5</v>
      </c>
      <c r="G27">
        <v>790436.99</v>
      </c>
      <c r="H27">
        <v>1.573E-3</v>
      </c>
    </row>
    <row r="28" spans="1:8" x14ac:dyDescent="0.35">
      <c r="A28" s="1">
        <v>45684</v>
      </c>
      <c r="B28" t="s">
        <v>10</v>
      </c>
      <c r="C28">
        <v>882.51</v>
      </c>
      <c r="D28">
        <v>4</v>
      </c>
      <c r="E28">
        <v>382374.91</v>
      </c>
      <c r="F28">
        <v>209447.59</v>
      </c>
      <c r="G28">
        <v>791384.63</v>
      </c>
      <c r="H28">
        <v>1.4909999999999999E-3</v>
      </c>
    </row>
    <row r="29" spans="1:8" x14ac:dyDescent="0.35">
      <c r="A29" s="1">
        <v>45685</v>
      </c>
      <c r="B29" t="s">
        <v>9</v>
      </c>
      <c r="C29">
        <v>1051.69</v>
      </c>
      <c r="D29">
        <v>0</v>
      </c>
      <c r="E29">
        <v>509630.8</v>
      </c>
      <c r="F29">
        <v>185062.71</v>
      </c>
      <c r="G29">
        <v>1107683.3999999999</v>
      </c>
      <c r="H29">
        <v>1.5139999999999999E-3</v>
      </c>
    </row>
    <row r="30" spans="1:8" x14ac:dyDescent="0.35">
      <c r="A30" s="1">
        <v>45686</v>
      </c>
      <c r="B30" t="s">
        <v>8</v>
      </c>
      <c r="C30">
        <v>1014.46</v>
      </c>
      <c r="D30">
        <v>5</v>
      </c>
      <c r="E30">
        <v>379654.9</v>
      </c>
      <c r="F30">
        <v>284783.13</v>
      </c>
      <c r="G30">
        <v>1057644.49</v>
      </c>
      <c r="H30">
        <v>1.5269999999999999E-3</v>
      </c>
    </row>
    <row r="31" spans="1:8" x14ac:dyDescent="0.35">
      <c r="A31" s="1">
        <v>45687</v>
      </c>
      <c r="B31" t="s">
        <v>8</v>
      </c>
      <c r="C31">
        <v>1001.93</v>
      </c>
      <c r="D31">
        <v>0</v>
      </c>
      <c r="E31">
        <v>365926.16</v>
      </c>
      <c r="F31">
        <v>149525.26999999999</v>
      </c>
      <c r="G31">
        <v>803573.75</v>
      </c>
      <c r="H31">
        <v>1.944E-3</v>
      </c>
    </row>
    <row r="32" spans="1:8" x14ac:dyDescent="0.35">
      <c r="A32" s="1">
        <v>45688</v>
      </c>
      <c r="B32" t="s">
        <v>11</v>
      </c>
      <c r="C32">
        <v>926.22</v>
      </c>
      <c r="D32">
        <v>2</v>
      </c>
      <c r="E32">
        <v>423124.46</v>
      </c>
      <c r="F32">
        <v>125587.36</v>
      </c>
      <c r="G32">
        <v>861537.29</v>
      </c>
      <c r="H32">
        <v>1.688E-3</v>
      </c>
    </row>
    <row r="33" spans="1:8" x14ac:dyDescent="0.35">
      <c r="A33" s="1">
        <v>45689</v>
      </c>
      <c r="B33" t="s">
        <v>8</v>
      </c>
      <c r="C33">
        <v>1017.47</v>
      </c>
      <c r="D33">
        <v>5</v>
      </c>
      <c r="E33">
        <v>412236.19</v>
      </c>
      <c r="F33">
        <v>189780.36</v>
      </c>
      <c r="G33">
        <v>913278.44</v>
      </c>
      <c r="H33">
        <v>1.6900000000000001E-3</v>
      </c>
    </row>
    <row r="34" spans="1:8" x14ac:dyDescent="0.35">
      <c r="A34" s="1">
        <v>45690</v>
      </c>
      <c r="B34" t="s">
        <v>9</v>
      </c>
      <c r="C34">
        <v>1088.43</v>
      </c>
      <c r="D34">
        <v>4</v>
      </c>
      <c r="E34">
        <v>461363.17</v>
      </c>
      <c r="F34">
        <v>159286.45000000001</v>
      </c>
      <c r="G34">
        <v>1185284.5900000001</v>
      </c>
      <c r="H34">
        <v>1.7539999999999999E-3</v>
      </c>
    </row>
    <row r="35" spans="1:8" x14ac:dyDescent="0.35">
      <c r="A35" s="1">
        <v>45691</v>
      </c>
      <c r="B35" t="s">
        <v>9</v>
      </c>
      <c r="C35">
        <v>1151.17</v>
      </c>
      <c r="D35">
        <v>1</v>
      </c>
      <c r="E35">
        <v>514368</v>
      </c>
      <c r="F35">
        <v>96566.6</v>
      </c>
      <c r="G35">
        <v>1353990.37</v>
      </c>
      <c r="H35">
        <v>1.884E-3</v>
      </c>
    </row>
    <row r="36" spans="1:8" x14ac:dyDescent="0.35">
      <c r="A36" s="1">
        <v>45692</v>
      </c>
      <c r="B36" t="s">
        <v>9</v>
      </c>
      <c r="C36">
        <v>1081.3800000000001</v>
      </c>
      <c r="D36">
        <v>4</v>
      </c>
      <c r="E36">
        <v>516543.39</v>
      </c>
      <c r="F36">
        <v>177538.3</v>
      </c>
      <c r="G36">
        <v>938418.55</v>
      </c>
      <c r="H36">
        <v>1.5579999999999999E-3</v>
      </c>
    </row>
    <row r="37" spans="1:8" x14ac:dyDescent="0.35">
      <c r="A37" s="1">
        <v>45693</v>
      </c>
      <c r="B37" t="s">
        <v>8</v>
      </c>
      <c r="C37">
        <v>1311.05</v>
      </c>
      <c r="D37">
        <v>4</v>
      </c>
      <c r="E37">
        <v>579813.78</v>
      </c>
      <c r="F37">
        <v>278508.08</v>
      </c>
      <c r="G37">
        <v>1122303.82</v>
      </c>
      <c r="H37">
        <v>1.5269999999999999E-3</v>
      </c>
    </row>
    <row r="38" spans="1:8" x14ac:dyDescent="0.35">
      <c r="A38" s="1">
        <v>45694</v>
      </c>
      <c r="B38" t="s">
        <v>11</v>
      </c>
      <c r="C38">
        <v>1058.6099999999999</v>
      </c>
      <c r="D38">
        <v>3</v>
      </c>
      <c r="E38">
        <v>417134.78</v>
      </c>
      <c r="F38">
        <v>231404.17</v>
      </c>
      <c r="G38">
        <v>1189929.6200000001</v>
      </c>
      <c r="H38">
        <v>1.632E-3</v>
      </c>
    </row>
    <row r="39" spans="1:8" x14ac:dyDescent="0.35">
      <c r="A39" s="1">
        <v>45695</v>
      </c>
      <c r="B39" t="s">
        <v>8</v>
      </c>
      <c r="C39">
        <v>1207.7</v>
      </c>
      <c r="D39">
        <v>5</v>
      </c>
      <c r="E39">
        <v>549861.68999999994</v>
      </c>
      <c r="F39">
        <v>269368.90000000002</v>
      </c>
      <c r="G39">
        <v>1396108.55</v>
      </c>
      <c r="H39">
        <v>1.474E-3</v>
      </c>
    </row>
    <row r="40" spans="1:8" x14ac:dyDescent="0.35">
      <c r="A40" s="1">
        <v>45696</v>
      </c>
      <c r="B40" t="s">
        <v>11</v>
      </c>
      <c r="C40">
        <v>727.12</v>
      </c>
      <c r="D40">
        <v>0</v>
      </c>
      <c r="E40">
        <v>317561.76</v>
      </c>
      <c r="F40">
        <v>55391.34</v>
      </c>
      <c r="G40">
        <v>717109.51</v>
      </c>
      <c r="H40">
        <v>1.9499999999999999E-3</v>
      </c>
    </row>
    <row r="41" spans="1:8" x14ac:dyDescent="0.35">
      <c r="A41" s="1">
        <v>45697</v>
      </c>
      <c r="B41" t="s">
        <v>8</v>
      </c>
      <c r="C41">
        <v>974.88</v>
      </c>
      <c r="D41">
        <v>2</v>
      </c>
      <c r="E41">
        <v>345669.79</v>
      </c>
      <c r="F41">
        <v>95602.23</v>
      </c>
      <c r="G41">
        <v>1100684.0900000001</v>
      </c>
      <c r="H41">
        <v>2.209E-3</v>
      </c>
    </row>
    <row r="42" spans="1:8" x14ac:dyDescent="0.35">
      <c r="A42" s="1">
        <v>45698</v>
      </c>
      <c r="B42" t="s">
        <v>9</v>
      </c>
      <c r="C42">
        <v>966.03</v>
      </c>
      <c r="D42">
        <v>2</v>
      </c>
      <c r="E42">
        <v>428371</v>
      </c>
      <c r="F42">
        <v>102802.12</v>
      </c>
      <c r="G42">
        <v>792796.04</v>
      </c>
      <c r="H42">
        <v>1.8190000000000001E-3</v>
      </c>
    </row>
    <row r="43" spans="1:8" x14ac:dyDescent="0.35">
      <c r="A43" s="1">
        <v>45699</v>
      </c>
      <c r="B43" t="s">
        <v>9</v>
      </c>
      <c r="C43">
        <v>1049.78</v>
      </c>
      <c r="D43">
        <v>3</v>
      </c>
      <c r="E43">
        <v>521086.22</v>
      </c>
      <c r="F43">
        <v>187445.05</v>
      </c>
      <c r="G43">
        <v>975434.89</v>
      </c>
      <c r="H43">
        <v>1.482E-3</v>
      </c>
    </row>
    <row r="44" spans="1:8" x14ac:dyDescent="0.35">
      <c r="A44" s="1">
        <v>45700</v>
      </c>
      <c r="B44" t="s">
        <v>10</v>
      </c>
      <c r="C44">
        <v>900.73</v>
      </c>
      <c r="D44">
        <v>1</v>
      </c>
      <c r="E44">
        <v>318681.34000000003</v>
      </c>
      <c r="F44">
        <v>214397.26</v>
      </c>
      <c r="G44">
        <v>1021783.25</v>
      </c>
      <c r="H44">
        <v>1.6900000000000001E-3</v>
      </c>
    </row>
    <row r="45" spans="1:8" x14ac:dyDescent="0.35">
      <c r="A45" s="1">
        <v>45701</v>
      </c>
      <c r="B45" t="s">
        <v>8</v>
      </c>
      <c r="C45">
        <v>1327.87</v>
      </c>
      <c r="D45">
        <v>2</v>
      </c>
      <c r="E45">
        <v>495911.84</v>
      </c>
      <c r="F45">
        <v>127536.43</v>
      </c>
      <c r="G45">
        <v>1354011.55</v>
      </c>
      <c r="H45">
        <v>2.1299999999999999E-3</v>
      </c>
    </row>
    <row r="46" spans="1:8" x14ac:dyDescent="0.35">
      <c r="A46" s="1">
        <v>45702</v>
      </c>
      <c r="B46" t="s">
        <v>8</v>
      </c>
      <c r="C46">
        <v>1341.81</v>
      </c>
      <c r="D46">
        <v>3</v>
      </c>
      <c r="E46">
        <v>592754.24</v>
      </c>
      <c r="F46">
        <v>172940.01</v>
      </c>
      <c r="G46">
        <v>1206408.7</v>
      </c>
      <c r="H46">
        <v>1.7520000000000001E-3</v>
      </c>
    </row>
    <row r="47" spans="1:8" x14ac:dyDescent="0.35">
      <c r="A47" s="1">
        <v>45703</v>
      </c>
      <c r="B47" t="s">
        <v>10</v>
      </c>
      <c r="C47">
        <v>1189.96</v>
      </c>
      <c r="D47">
        <v>2</v>
      </c>
      <c r="E47">
        <v>437204.65</v>
      </c>
      <c r="F47">
        <v>96900.4</v>
      </c>
      <c r="G47">
        <v>971355.1</v>
      </c>
      <c r="H47">
        <v>2.2279999999999999E-3</v>
      </c>
    </row>
    <row r="48" spans="1:8" x14ac:dyDescent="0.35">
      <c r="A48" s="1">
        <v>45704</v>
      </c>
      <c r="B48" t="s">
        <v>9</v>
      </c>
      <c r="C48">
        <v>1166.57</v>
      </c>
      <c r="D48">
        <v>1</v>
      </c>
      <c r="E48">
        <v>494326.38</v>
      </c>
      <c r="F48">
        <v>141020.76999999999</v>
      </c>
      <c r="G48">
        <v>1014079.38</v>
      </c>
      <c r="H48">
        <v>1.836E-3</v>
      </c>
    </row>
    <row r="49" spans="1:8" x14ac:dyDescent="0.35">
      <c r="A49" s="1">
        <v>45705</v>
      </c>
      <c r="B49" t="s">
        <v>8</v>
      </c>
      <c r="C49">
        <v>1316.2</v>
      </c>
      <c r="D49">
        <v>2</v>
      </c>
      <c r="E49">
        <v>586054.36</v>
      </c>
      <c r="F49">
        <v>96795.6</v>
      </c>
      <c r="G49">
        <v>1250181.3999999999</v>
      </c>
      <c r="H49">
        <v>1.928E-3</v>
      </c>
    </row>
    <row r="50" spans="1:8" x14ac:dyDescent="0.35">
      <c r="A50" s="1">
        <v>45706</v>
      </c>
      <c r="B50" t="s">
        <v>10</v>
      </c>
      <c r="C50">
        <v>1008.78</v>
      </c>
      <c r="D50">
        <v>2</v>
      </c>
      <c r="E50">
        <v>363749.93</v>
      </c>
      <c r="F50">
        <v>186362.89</v>
      </c>
      <c r="G50">
        <v>817718.66</v>
      </c>
      <c r="H50">
        <v>1.8339999999999999E-3</v>
      </c>
    </row>
    <row r="51" spans="1:8" x14ac:dyDescent="0.35">
      <c r="A51" s="1">
        <v>45707</v>
      </c>
      <c r="B51" t="s">
        <v>8</v>
      </c>
      <c r="C51">
        <v>1552.2</v>
      </c>
      <c r="D51">
        <v>3</v>
      </c>
      <c r="E51">
        <v>693046.59</v>
      </c>
      <c r="F51">
        <v>178737.93</v>
      </c>
      <c r="G51">
        <v>1580522.08</v>
      </c>
      <c r="H51">
        <v>1.7799999999999999E-3</v>
      </c>
    </row>
    <row r="52" spans="1:8" x14ac:dyDescent="0.35">
      <c r="A52" s="1">
        <v>45708</v>
      </c>
      <c r="B52" t="s">
        <v>11</v>
      </c>
      <c r="C52">
        <v>877.23</v>
      </c>
      <c r="D52">
        <v>3</v>
      </c>
      <c r="E52">
        <v>320292.14</v>
      </c>
      <c r="F52">
        <v>112733.27</v>
      </c>
      <c r="G52">
        <v>734925.15</v>
      </c>
      <c r="H52">
        <v>2.026E-3</v>
      </c>
    </row>
    <row r="53" spans="1:8" x14ac:dyDescent="0.35">
      <c r="A53" s="1">
        <v>45709</v>
      </c>
      <c r="B53" t="s">
        <v>9</v>
      </c>
      <c r="C53">
        <v>1188.25</v>
      </c>
      <c r="D53">
        <v>1</v>
      </c>
      <c r="E53">
        <v>472739.96</v>
      </c>
      <c r="F53">
        <v>196731.3</v>
      </c>
      <c r="G53">
        <v>961659.19</v>
      </c>
      <c r="H53">
        <v>1.7750000000000001E-3</v>
      </c>
    </row>
    <row r="54" spans="1:8" x14ac:dyDescent="0.35">
      <c r="A54" s="1">
        <v>45710</v>
      </c>
      <c r="B54" t="s">
        <v>11</v>
      </c>
      <c r="C54">
        <v>811.6</v>
      </c>
      <c r="D54">
        <v>0</v>
      </c>
      <c r="E54">
        <v>368878.64</v>
      </c>
      <c r="F54">
        <v>144341.43</v>
      </c>
      <c r="G54">
        <v>934137.09</v>
      </c>
      <c r="H54">
        <v>1.5809999999999999E-3</v>
      </c>
    </row>
    <row r="55" spans="1:8" x14ac:dyDescent="0.35">
      <c r="A55" s="1">
        <v>45711</v>
      </c>
      <c r="B55" t="s">
        <v>9</v>
      </c>
      <c r="C55">
        <v>1227.44</v>
      </c>
      <c r="D55">
        <v>3</v>
      </c>
      <c r="E55">
        <v>567804.32999999996</v>
      </c>
      <c r="F55">
        <v>231025.21</v>
      </c>
      <c r="G55">
        <v>1468266.63</v>
      </c>
      <c r="H55">
        <v>1.537E-3</v>
      </c>
    </row>
    <row r="56" spans="1:8" x14ac:dyDescent="0.35">
      <c r="A56" s="1">
        <v>45712</v>
      </c>
      <c r="B56" t="s">
        <v>10</v>
      </c>
      <c r="C56">
        <v>731.85</v>
      </c>
      <c r="D56">
        <v>4</v>
      </c>
      <c r="E56">
        <v>338575.91</v>
      </c>
      <c r="F56">
        <v>243181.43</v>
      </c>
      <c r="G56">
        <v>615667.86</v>
      </c>
      <c r="H56">
        <v>1.258E-3</v>
      </c>
    </row>
    <row r="57" spans="1:8" x14ac:dyDescent="0.35">
      <c r="A57" s="1">
        <v>45713</v>
      </c>
      <c r="B57" t="s">
        <v>9</v>
      </c>
      <c r="C57">
        <v>916.91</v>
      </c>
      <c r="D57">
        <v>3</v>
      </c>
      <c r="E57">
        <v>444087.8</v>
      </c>
      <c r="F57">
        <v>168380.25</v>
      </c>
      <c r="G57">
        <v>737506.47</v>
      </c>
      <c r="H57">
        <v>1.4970000000000001E-3</v>
      </c>
    </row>
    <row r="58" spans="1:8" x14ac:dyDescent="0.35">
      <c r="A58" s="1">
        <v>45714</v>
      </c>
      <c r="B58" t="s">
        <v>9</v>
      </c>
      <c r="C58">
        <v>1148.6199999999999</v>
      </c>
      <c r="D58">
        <v>4</v>
      </c>
      <c r="E58">
        <v>458645.58</v>
      </c>
      <c r="F58">
        <v>230877.77</v>
      </c>
      <c r="G58">
        <v>1264578.43</v>
      </c>
      <c r="H58">
        <v>1.6659999999999999E-3</v>
      </c>
    </row>
    <row r="59" spans="1:8" x14ac:dyDescent="0.35">
      <c r="A59" s="1">
        <v>45715</v>
      </c>
      <c r="B59" t="s">
        <v>10</v>
      </c>
      <c r="C59">
        <v>980.48</v>
      </c>
      <c r="D59">
        <v>2</v>
      </c>
      <c r="E59">
        <v>415882.76</v>
      </c>
      <c r="F59">
        <v>98633.81</v>
      </c>
      <c r="G59">
        <v>999903.34</v>
      </c>
      <c r="H59">
        <v>1.9059999999999999E-3</v>
      </c>
    </row>
    <row r="60" spans="1:8" x14ac:dyDescent="0.35">
      <c r="A60" s="1">
        <v>45716</v>
      </c>
      <c r="B60" t="s">
        <v>9</v>
      </c>
      <c r="C60">
        <v>1246.27</v>
      </c>
      <c r="D60">
        <v>1</v>
      </c>
      <c r="E60">
        <v>462924.68</v>
      </c>
      <c r="F60">
        <v>184226.59</v>
      </c>
      <c r="G60">
        <v>1305200.51</v>
      </c>
      <c r="H60">
        <v>1.926E-3</v>
      </c>
    </row>
    <row r="61" spans="1:8" x14ac:dyDescent="0.35">
      <c r="A61" s="1">
        <v>45717</v>
      </c>
      <c r="B61" t="s">
        <v>8</v>
      </c>
      <c r="C61">
        <v>1177.94</v>
      </c>
      <c r="D61">
        <v>0</v>
      </c>
      <c r="E61">
        <v>427140.42</v>
      </c>
      <c r="F61">
        <v>155145.37</v>
      </c>
      <c r="G61">
        <v>976637.34</v>
      </c>
      <c r="H61">
        <v>2.0230000000000001E-3</v>
      </c>
    </row>
    <row r="62" spans="1:8" x14ac:dyDescent="0.35">
      <c r="A62" s="1">
        <v>45718</v>
      </c>
      <c r="B62" t="s">
        <v>10</v>
      </c>
      <c r="C62">
        <v>1083.8699999999999</v>
      </c>
      <c r="D62">
        <v>0</v>
      </c>
      <c r="E62">
        <v>393146.15</v>
      </c>
      <c r="F62">
        <v>197995.94</v>
      </c>
      <c r="G62">
        <v>1029356.92</v>
      </c>
      <c r="H62">
        <v>1.8339999999999999E-3</v>
      </c>
    </row>
    <row r="63" spans="1:8" x14ac:dyDescent="0.35">
      <c r="A63" s="1">
        <v>45719</v>
      </c>
      <c r="B63" t="s">
        <v>10</v>
      </c>
      <c r="C63">
        <v>1130.8800000000001</v>
      </c>
      <c r="D63">
        <v>5</v>
      </c>
      <c r="E63">
        <v>409972.84</v>
      </c>
      <c r="F63">
        <v>266572.03999999998</v>
      </c>
      <c r="G63">
        <v>1157300.55</v>
      </c>
      <c r="H63">
        <v>1.6720000000000001E-3</v>
      </c>
    </row>
    <row r="64" spans="1:8" x14ac:dyDescent="0.35">
      <c r="A64" s="1">
        <v>45720</v>
      </c>
      <c r="B64" t="s">
        <v>10</v>
      </c>
      <c r="C64">
        <v>1128.6500000000001</v>
      </c>
      <c r="D64">
        <v>0</v>
      </c>
      <c r="E64">
        <v>478427.25</v>
      </c>
      <c r="F64">
        <v>51703.05</v>
      </c>
      <c r="G64">
        <v>1114500.49</v>
      </c>
      <c r="H64">
        <v>2.1289999999999998E-3</v>
      </c>
    </row>
    <row r="65" spans="1:8" x14ac:dyDescent="0.35">
      <c r="A65" s="1">
        <v>45721</v>
      </c>
      <c r="B65" t="s">
        <v>11</v>
      </c>
      <c r="C65">
        <v>876.01</v>
      </c>
      <c r="D65">
        <v>0</v>
      </c>
      <c r="E65">
        <v>322216.07</v>
      </c>
      <c r="F65">
        <v>67628.94</v>
      </c>
      <c r="G65">
        <v>928293.06</v>
      </c>
      <c r="H65">
        <v>2.2469999999999999E-3</v>
      </c>
    </row>
    <row r="66" spans="1:8" x14ac:dyDescent="0.35">
      <c r="A66" s="1">
        <v>45722</v>
      </c>
      <c r="B66" t="s">
        <v>11</v>
      </c>
      <c r="C66">
        <v>977.9</v>
      </c>
      <c r="D66">
        <v>2</v>
      </c>
      <c r="E66">
        <v>469676.41</v>
      </c>
      <c r="F66">
        <v>123539.38</v>
      </c>
      <c r="G66">
        <v>1159096.47</v>
      </c>
      <c r="H66">
        <v>1.6479999999999999E-3</v>
      </c>
    </row>
    <row r="67" spans="1:8" x14ac:dyDescent="0.35">
      <c r="A67" s="1">
        <v>45723</v>
      </c>
      <c r="B67" t="s">
        <v>9</v>
      </c>
      <c r="C67">
        <v>1329.91</v>
      </c>
      <c r="D67">
        <v>0</v>
      </c>
      <c r="E67">
        <v>658946.65</v>
      </c>
      <c r="F67">
        <v>56473.99</v>
      </c>
      <c r="G67">
        <v>1537985.02</v>
      </c>
      <c r="H67">
        <v>1.859E-3</v>
      </c>
    </row>
    <row r="68" spans="1:8" x14ac:dyDescent="0.35">
      <c r="A68" s="1">
        <v>45724</v>
      </c>
      <c r="B68" t="s">
        <v>10</v>
      </c>
      <c r="C68">
        <v>1033.6099999999999</v>
      </c>
      <c r="D68">
        <v>0</v>
      </c>
      <c r="E68">
        <v>447635.58</v>
      </c>
      <c r="F68">
        <v>195395.38</v>
      </c>
      <c r="G68">
        <v>1043163.57</v>
      </c>
      <c r="H68">
        <v>1.6069999999999999E-3</v>
      </c>
    </row>
    <row r="69" spans="1:8" x14ac:dyDescent="0.35">
      <c r="A69" s="1">
        <v>45725</v>
      </c>
      <c r="B69" t="s">
        <v>9</v>
      </c>
      <c r="C69">
        <v>1101.8900000000001</v>
      </c>
      <c r="D69">
        <v>3</v>
      </c>
      <c r="E69">
        <v>482238.52</v>
      </c>
      <c r="F69">
        <v>245173.7</v>
      </c>
      <c r="G69">
        <v>901541.83</v>
      </c>
      <c r="H69">
        <v>1.5150000000000001E-3</v>
      </c>
    </row>
    <row r="70" spans="1:8" x14ac:dyDescent="0.35">
      <c r="A70" s="1">
        <v>45726</v>
      </c>
      <c r="B70" t="s">
        <v>8</v>
      </c>
      <c r="C70">
        <v>1183.3599999999999</v>
      </c>
      <c r="D70">
        <v>2</v>
      </c>
      <c r="E70">
        <v>496484.41</v>
      </c>
      <c r="F70">
        <v>143002.82999999999</v>
      </c>
      <c r="G70">
        <v>1222958.3400000001</v>
      </c>
      <c r="H70">
        <v>1.8500000000000001E-3</v>
      </c>
    </row>
    <row r="71" spans="1:8" x14ac:dyDescent="0.35">
      <c r="A71" s="1">
        <v>45727</v>
      </c>
      <c r="B71" t="s">
        <v>10</v>
      </c>
      <c r="C71">
        <v>1146.45</v>
      </c>
      <c r="D71">
        <v>0</v>
      </c>
      <c r="E71">
        <v>568819.93999999994</v>
      </c>
      <c r="F71">
        <v>197931.61</v>
      </c>
      <c r="G71">
        <v>1237319.08</v>
      </c>
      <c r="H71">
        <v>1.495E-3</v>
      </c>
    </row>
    <row r="72" spans="1:8" x14ac:dyDescent="0.35">
      <c r="A72" s="1">
        <v>45728</v>
      </c>
      <c r="B72" t="s">
        <v>8</v>
      </c>
      <c r="C72">
        <v>913.09</v>
      </c>
      <c r="D72">
        <v>2</v>
      </c>
      <c r="E72">
        <v>444347.23</v>
      </c>
      <c r="F72">
        <v>213380.59</v>
      </c>
      <c r="G72">
        <v>1077377.8700000001</v>
      </c>
      <c r="H72">
        <v>1.3879999999999999E-3</v>
      </c>
    </row>
    <row r="73" spans="1:8" x14ac:dyDescent="0.35">
      <c r="A73" s="1">
        <v>45729</v>
      </c>
      <c r="B73" t="s">
        <v>9</v>
      </c>
      <c r="C73">
        <v>1154.3699999999999</v>
      </c>
      <c r="D73">
        <v>5</v>
      </c>
      <c r="E73">
        <v>408595.61</v>
      </c>
      <c r="F73">
        <v>206469.51</v>
      </c>
      <c r="G73">
        <v>1297769.03</v>
      </c>
      <c r="H73">
        <v>1.877E-3</v>
      </c>
    </row>
    <row r="74" spans="1:8" x14ac:dyDescent="0.35">
      <c r="A74" s="1">
        <v>45730</v>
      </c>
      <c r="B74" t="s">
        <v>11</v>
      </c>
      <c r="C74">
        <v>643.03</v>
      </c>
      <c r="D74">
        <v>4</v>
      </c>
      <c r="E74">
        <v>251431.77</v>
      </c>
      <c r="F74">
        <v>138456.32000000001</v>
      </c>
      <c r="G74">
        <v>736840.77</v>
      </c>
      <c r="H74">
        <v>1.6490000000000001E-3</v>
      </c>
    </row>
    <row r="75" spans="1:8" x14ac:dyDescent="0.35">
      <c r="A75" s="1">
        <v>45731</v>
      </c>
      <c r="B75" t="s">
        <v>9</v>
      </c>
      <c r="C75">
        <v>1303.08</v>
      </c>
      <c r="D75">
        <v>7</v>
      </c>
      <c r="E75">
        <v>544142.62</v>
      </c>
      <c r="F75">
        <v>209373.91</v>
      </c>
      <c r="G75">
        <v>1539746.94</v>
      </c>
      <c r="H75">
        <v>1.7290000000000001E-3</v>
      </c>
    </row>
    <row r="76" spans="1:8" x14ac:dyDescent="0.35">
      <c r="A76" s="1">
        <v>45732</v>
      </c>
      <c r="B76" t="s">
        <v>8</v>
      </c>
      <c r="C76">
        <v>994.71</v>
      </c>
      <c r="D76">
        <v>3</v>
      </c>
      <c r="E76">
        <v>448352.25</v>
      </c>
      <c r="F76">
        <v>188046.16</v>
      </c>
      <c r="G76">
        <v>1103062.78</v>
      </c>
      <c r="H76">
        <v>1.5629999999999999E-3</v>
      </c>
    </row>
    <row r="77" spans="1:8" x14ac:dyDescent="0.35">
      <c r="A77" s="1">
        <v>45733</v>
      </c>
      <c r="B77" t="s">
        <v>10</v>
      </c>
      <c r="C77">
        <v>1080.32</v>
      </c>
      <c r="D77">
        <v>4</v>
      </c>
      <c r="E77">
        <v>443497.14</v>
      </c>
      <c r="F77">
        <v>150102.28</v>
      </c>
      <c r="G77">
        <v>876696.86</v>
      </c>
      <c r="H77">
        <v>1.82E-3</v>
      </c>
    </row>
    <row r="78" spans="1:8" x14ac:dyDescent="0.35">
      <c r="A78" s="1">
        <v>45734</v>
      </c>
      <c r="B78" t="s">
        <v>9</v>
      </c>
      <c r="C78">
        <v>1196.81</v>
      </c>
      <c r="D78">
        <v>2</v>
      </c>
      <c r="E78">
        <v>421493.31</v>
      </c>
      <c r="F78">
        <v>142588.13</v>
      </c>
      <c r="G78">
        <v>1239852.02</v>
      </c>
      <c r="H78">
        <v>2.1220000000000002E-3</v>
      </c>
    </row>
    <row r="79" spans="1:8" x14ac:dyDescent="0.35">
      <c r="A79" s="1">
        <v>45735</v>
      </c>
      <c r="B79" t="s">
        <v>10</v>
      </c>
      <c r="C79">
        <v>1205.29</v>
      </c>
      <c r="D79">
        <v>3</v>
      </c>
      <c r="E79">
        <v>514779.48</v>
      </c>
      <c r="F79">
        <v>227547.95</v>
      </c>
      <c r="G79">
        <v>1155416.1599999999</v>
      </c>
      <c r="H79">
        <v>1.624E-3</v>
      </c>
    </row>
    <row r="80" spans="1:8" x14ac:dyDescent="0.35">
      <c r="A80" s="1">
        <v>45736</v>
      </c>
      <c r="B80" t="s">
        <v>11</v>
      </c>
      <c r="C80">
        <v>1047.23</v>
      </c>
      <c r="D80">
        <v>2</v>
      </c>
      <c r="E80">
        <v>443835.23</v>
      </c>
      <c r="F80">
        <v>128736.66</v>
      </c>
      <c r="G80">
        <v>1030114.37</v>
      </c>
      <c r="H80">
        <v>1.8289999999999999E-3</v>
      </c>
    </row>
    <row r="81" spans="1:8" x14ac:dyDescent="0.35">
      <c r="A81" s="1">
        <v>45737</v>
      </c>
      <c r="B81" t="s">
        <v>11</v>
      </c>
      <c r="C81">
        <v>949.61</v>
      </c>
      <c r="D81">
        <v>3</v>
      </c>
      <c r="E81">
        <v>366568.3</v>
      </c>
      <c r="F81">
        <v>121379.5</v>
      </c>
      <c r="G81">
        <v>808638</v>
      </c>
      <c r="H81">
        <v>1.946E-3</v>
      </c>
    </row>
    <row r="82" spans="1:8" x14ac:dyDescent="0.35">
      <c r="A82" s="1">
        <v>45738</v>
      </c>
      <c r="B82" t="s">
        <v>11</v>
      </c>
      <c r="C82">
        <v>954.99</v>
      </c>
      <c r="D82">
        <v>1</v>
      </c>
      <c r="E82">
        <v>462709.97</v>
      </c>
      <c r="F82">
        <v>141094.25</v>
      </c>
      <c r="G82">
        <v>1018996.11</v>
      </c>
      <c r="H82">
        <v>1.5820000000000001E-3</v>
      </c>
    </row>
    <row r="83" spans="1:8" x14ac:dyDescent="0.35">
      <c r="A83" s="1">
        <v>45739</v>
      </c>
      <c r="B83" t="s">
        <v>10</v>
      </c>
      <c r="C83">
        <v>859.02</v>
      </c>
      <c r="D83">
        <v>1</v>
      </c>
      <c r="E83">
        <v>305922.34000000003</v>
      </c>
      <c r="F83">
        <v>95340.26</v>
      </c>
      <c r="G83">
        <v>782940.08</v>
      </c>
      <c r="H83">
        <v>2.1410000000000001E-3</v>
      </c>
    </row>
    <row r="84" spans="1:8" x14ac:dyDescent="0.35">
      <c r="A84" s="1">
        <v>45740</v>
      </c>
      <c r="B84" t="s">
        <v>9</v>
      </c>
      <c r="C84">
        <v>1083.95</v>
      </c>
      <c r="D84">
        <v>1</v>
      </c>
      <c r="E84">
        <v>461232.43</v>
      </c>
      <c r="F84">
        <v>173559.22</v>
      </c>
      <c r="G84">
        <v>884201.24</v>
      </c>
      <c r="H84">
        <v>1.7080000000000001E-3</v>
      </c>
    </row>
    <row r="85" spans="1:8" x14ac:dyDescent="0.35">
      <c r="A85" s="1">
        <v>45741</v>
      </c>
      <c r="B85" t="s">
        <v>10</v>
      </c>
      <c r="C85">
        <v>844.71</v>
      </c>
      <c r="D85">
        <v>2</v>
      </c>
      <c r="E85">
        <v>406338.35</v>
      </c>
      <c r="F85">
        <v>228130.86</v>
      </c>
      <c r="G85">
        <v>696408.28</v>
      </c>
      <c r="H85">
        <v>1.3309999999999999E-3</v>
      </c>
    </row>
    <row r="86" spans="1:8" x14ac:dyDescent="0.35">
      <c r="A86" s="1">
        <v>45742</v>
      </c>
      <c r="B86" t="s">
        <v>10</v>
      </c>
      <c r="C86">
        <v>1127.7</v>
      </c>
      <c r="D86">
        <v>2</v>
      </c>
      <c r="E86">
        <v>457363.48</v>
      </c>
      <c r="F86">
        <v>162678.45000000001</v>
      </c>
      <c r="G86">
        <v>1181045.6499999999</v>
      </c>
      <c r="H86">
        <v>1.8190000000000001E-3</v>
      </c>
    </row>
    <row r="87" spans="1:8" x14ac:dyDescent="0.35">
      <c r="A87" s="1">
        <v>45743</v>
      </c>
      <c r="B87" t="s">
        <v>9</v>
      </c>
      <c r="C87">
        <v>1006.95</v>
      </c>
      <c r="D87">
        <v>2</v>
      </c>
      <c r="E87">
        <v>357971.6</v>
      </c>
      <c r="F87">
        <v>127865.54</v>
      </c>
      <c r="G87">
        <v>1092878</v>
      </c>
      <c r="H87">
        <v>2.0730000000000002E-3</v>
      </c>
    </row>
    <row r="88" spans="1:8" x14ac:dyDescent="0.35">
      <c r="A88" s="1">
        <v>45744</v>
      </c>
      <c r="B88" t="s">
        <v>11</v>
      </c>
      <c r="C88">
        <v>904.29</v>
      </c>
      <c r="D88">
        <v>1</v>
      </c>
      <c r="E88">
        <v>377191.37</v>
      </c>
      <c r="F88">
        <v>149892.59</v>
      </c>
      <c r="G88">
        <v>811140.23</v>
      </c>
      <c r="H88">
        <v>1.7160000000000001E-3</v>
      </c>
    </row>
    <row r="89" spans="1:8" x14ac:dyDescent="0.35">
      <c r="A89" s="1">
        <v>45745</v>
      </c>
      <c r="B89" t="s">
        <v>11</v>
      </c>
      <c r="C89">
        <v>1045.29</v>
      </c>
      <c r="D89">
        <v>1</v>
      </c>
      <c r="E89">
        <v>368999.76</v>
      </c>
      <c r="F89">
        <v>118311.87</v>
      </c>
      <c r="G89">
        <v>924644.87</v>
      </c>
      <c r="H89">
        <v>2.1450000000000002E-3</v>
      </c>
    </row>
    <row r="90" spans="1:8" x14ac:dyDescent="0.35">
      <c r="A90" s="1">
        <v>45746</v>
      </c>
      <c r="B90" t="s">
        <v>9</v>
      </c>
      <c r="C90">
        <v>984.02</v>
      </c>
      <c r="D90">
        <v>5</v>
      </c>
      <c r="E90">
        <v>423683.92</v>
      </c>
      <c r="F90">
        <v>238026.17</v>
      </c>
      <c r="G90">
        <v>1080622.83</v>
      </c>
      <c r="H90">
        <v>1.487E-3</v>
      </c>
    </row>
    <row r="91" spans="1:8" x14ac:dyDescent="0.35">
      <c r="A91" s="1">
        <v>45747</v>
      </c>
      <c r="B91" t="s">
        <v>10</v>
      </c>
      <c r="C91">
        <v>947.38</v>
      </c>
      <c r="D91">
        <v>1</v>
      </c>
      <c r="E91">
        <v>371910.18</v>
      </c>
      <c r="F91">
        <v>124462.34</v>
      </c>
      <c r="G91">
        <v>1002677.34</v>
      </c>
      <c r="H91">
        <v>1.9090000000000001E-3</v>
      </c>
    </row>
    <row r="92" spans="1:8" x14ac:dyDescent="0.35">
      <c r="A92" s="1">
        <v>45748</v>
      </c>
      <c r="B92" t="s">
        <v>10</v>
      </c>
      <c r="C92">
        <v>712.93</v>
      </c>
      <c r="D92">
        <v>3</v>
      </c>
      <c r="E92">
        <v>265873.43</v>
      </c>
      <c r="F92">
        <v>146893.66</v>
      </c>
      <c r="G92">
        <v>616168.74</v>
      </c>
      <c r="H92">
        <v>1.727E-3</v>
      </c>
    </row>
    <row r="93" spans="1:8" x14ac:dyDescent="0.35">
      <c r="A93" s="1">
        <v>45749</v>
      </c>
      <c r="B93" t="s">
        <v>11</v>
      </c>
      <c r="C93">
        <v>1041.19</v>
      </c>
      <c r="D93">
        <v>1</v>
      </c>
      <c r="E93">
        <v>391494.74</v>
      </c>
      <c r="F93">
        <v>204514.81</v>
      </c>
      <c r="G93">
        <v>866369.67</v>
      </c>
      <c r="H93">
        <v>1.7470000000000001E-3</v>
      </c>
    </row>
    <row r="94" spans="1:8" x14ac:dyDescent="0.35">
      <c r="A94" s="1">
        <v>45750</v>
      </c>
      <c r="B94" t="s">
        <v>8</v>
      </c>
      <c r="C94">
        <v>824.59</v>
      </c>
      <c r="D94">
        <v>1</v>
      </c>
      <c r="E94">
        <v>337815.05</v>
      </c>
      <c r="F94">
        <v>215420.56</v>
      </c>
      <c r="G94">
        <v>945142.91</v>
      </c>
      <c r="H94">
        <v>1.49E-3</v>
      </c>
    </row>
    <row r="95" spans="1:8" x14ac:dyDescent="0.35">
      <c r="A95" s="1">
        <v>45751</v>
      </c>
      <c r="B95" t="s">
        <v>8</v>
      </c>
      <c r="C95">
        <v>1302.7</v>
      </c>
      <c r="D95">
        <v>2</v>
      </c>
      <c r="E95">
        <v>586599.57999999996</v>
      </c>
      <c r="F95">
        <v>229406.4</v>
      </c>
      <c r="G95">
        <v>1332274.26</v>
      </c>
      <c r="H95">
        <v>1.596E-3</v>
      </c>
    </row>
    <row r="96" spans="1:8" x14ac:dyDescent="0.35">
      <c r="A96" s="1">
        <v>45752</v>
      </c>
      <c r="B96" t="s">
        <v>8</v>
      </c>
      <c r="C96">
        <v>949.59</v>
      </c>
      <c r="D96">
        <v>2</v>
      </c>
      <c r="E96">
        <v>392954.7</v>
      </c>
      <c r="F96">
        <v>166141.56</v>
      </c>
      <c r="G96">
        <v>851747.23</v>
      </c>
      <c r="H96">
        <v>1.6980000000000001E-3</v>
      </c>
    </row>
    <row r="97" spans="1:8" x14ac:dyDescent="0.35">
      <c r="A97" s="1">
        <v>45753</v>
      </c>
      <c r="B97" t="s">
        <v>10</v>
      </c>
      <c r="C97">
        <v>1081.5</v>
      </c>
      <c r="D97">
        <v>0</v>
      </c>
      <c r="E97">
        <v>477584.62</v>
      </c>
      <c r="F97">
        <v>93294.58</v>
      </c>
      <c r="G97">
        <v>1116647.81</v>
      </c>
      <c r="H97">
        <v>1.8940000000000001E-3</v>
      </c>
    </row>
    <row r="98" spans="1:8" x14ac:dyDescent="0.35">
      <c r="A98" s="1">
        <v>45754</v>
      </c>
      <c r="B98" t="s">
        <v>10</v>
      </c>
      <c r="C98">
        <v>990.09</v>
      </c>
      <c r="D98">
        <v>1</v>
      </c>
      <c r="E98">
        <v>396520.99</v>
      </c>
      <c r="F98">
        <v>90162.2</v>
      </c>
      <c r="G98">
        <v>817169.14</v>
      </c>
      <c r="H98">
        <v>2.0339999999999998E-3</v>
      </c>
    </row>
    <row r="99" spans="1:8" x14ac:dyDescent="0.35">
      <c r="A99" s="1">
        <v>45755</v>
      </c>
      <c r="B99" t="s">
        <v>11</v>
      </c>
      <c r="C99">
        <v>718.35</v>
      </c>
      <c r="D99">
        <v>3</v>
      </c>
      <c r="E99">
        <v>324855.02</v>
      </c>
      <c r="F99">
        <v>224034.18</v>
      </c>
      <c r="G99">
        <v>745828.31</v>
      </c>
      <c r="H99">
        <v>1.3090000000000001E-3</v>
      </c>
    </row>
    <row r="100" spans="1:8" x14ac:dyDescent="0.35">
      <c r="A100" s="1">
        <v>45756</v>
      </c>
      <c r="B100" t="s">
        <v>8</v>
      </c>
      <c r="C100">
        <v>829.25</v>
      </c>
      <c r="D100">
        <v>4</v>
      </c>
      <c r="E100">
        <v>381149.81</v>
      </c>
      <c r="F100">
        <v>270751.07</v>
      </c>
      <c r="G100">
        <v>723517.91</v>
      </c>
      <c r="H100">
        <v>1.2719999999999999E-3</v>
      </c>
    </row>
    <row r="101" spans="1:8" x14ac:dyDescent="0.35">
      <c r="A101" s="1">
        <v>45757</v>
      </c>
      <c r="B101" t="s">
        <v>11</v>
      </c>
      <c r="C101">
        <v>780.47</v>
      </c>
      <c r="D101">
        <v>0</v>
      </c>
      <c r="E101">
        <v>359925.89</v>
      </c>
      <c r="F101">
        <v>136170.97</v>
      </c>
      <c r="G101">
        <v>887179.97</v>
      </c>
      <c r="H101">
        <v>1.573E-3</v>
      </c>
    </row>
    <row r="102" spans="1:8" x14ac:dyDescent="0.35">
      <c r="A102" s="1">
        <v>45758</v>
      </c>
      <c r="B102" t="s">
        <v>11</v>
      </c>
      <c r="C102">
        <v>950.64</v>
      </c>
      <c r="D102">
        <v>1</v>
      </c>
      <c r="E102">
        <v>356147.8</v>
      </c>
      <c r="F102">
        <v>192186.21</v>
      </c>
      <c r="G102">
        <v>1013457.66</v>
      </c>
      <c r="H102">
        <v>1.7340000000000001E-3</v>
      </c>
    </row>
    <row r="103" spans="1:8" x14ac:dyDescent="0.35">
      <c r="A103" s="1">
        <v>45759</v>
      </c>
      <c r="B103" t="s">
        <v>11</v>
      </c>
      <c r="C103">
        <v>838.22</v>
      </c>
      <c r="D103">
        <v>3</v>
      </c>
      <c r="E103">
        <v>396049.77</v>
      </c>
      <c r="F103">
        <v>175870.24</v>
      </c>
      <c r="G103">
        <v>796959.47</v>
      </c>
      <c r="H103">
        <v>1.4660000000000001E-3</v>
      </c>
    </row>
    <row r="104" spans="1:8" x14ac:dyDescent="0.35">
      <c r="A104" s="1">
        <v>45760</v>
      </c>
      <c r="B104" t="s">
        <v>9</v>
      </c>
      <c r="C104">
        <v>819.38</v>
      </c>
      <c r="D104">
        <v>2</v>
      </c>
      <c r="E104">
        <v>397347.6</v>
      </c>
      <c r="F104">
        <v>147583.67999999999</v>
      </c>
      <c r="G104">
        <v>833655.77</v>
      </c>
      <c r="H104">
        <v>1.5039999999999999E-3</v>
      </c>
    </row>
    <row r="105" spans="1:8" x14ac:dyDescent="0.35">
      <c r="A105" s="1">
        <v>45761</v>
      </c>
      <c r="B105" t="s">
        <v>8</v>
      </c>
      <c r="C105">
        <v>1147.27</v>
      </c>
      <c r="D105">
        <v>2</v>
      </c>
      <c r="E105">
        <v>563282.14</v>
      </c>
      <c r="F105">
        <v>184156.21</v>
      </c>
      <c r="G105">
        <v>1071509.6499999999</v>
      </c>
      <c r="H105">
        <v>1.5349999999999999E-3</v>
      </c>
    </row>
    <row r="106" spans="1:8" x14ac:dyDescent="0.35">
      <c r="A106" s="1">
        <v>45762</v>
      </c>
      <c r="B106" t="s">
        <v>8</v>
      </c>
      <c r="C106">
        <v>1250.77</v>
      </c>
      <c r="D106">
        <v>4</v>
      </c>
      <c r="E106">
        <v>496255.16</v>
      </c>
      <c r="F106">
        <v>167273.37</v>
      </c>
      <c r="G106">
        <v>1372823.18</v>
      </c>
      <c r="H106">
        <v>1.885E-3</v>
      </c>
    </row>
    <row r="107" spans="1:8" x14ac:dyDescent="0.35">
      <c r="A107" s="1">
        <v>45763</v>
      </c>
      <c r="B107" t="s">
        <v>9</v>
      </c>
      <c r="C107">
        <v>1037.71</v>
      </c>
      <c r="D107">
        <v>0</v>
      </c>
      <c r="E107">
        <v>451904.15</v>
      </c>
      <c r="F107">
        <v>164368.79999999999</v>
      </c>
      <c r="G107">
        <v>1194095.72</v>
      </c>
      <c r="H107">
        <v>1.684E-3</v>
      </c>
    </row>
    <row r="108" spans="1:8" x14ac:dyDescent="0.35">
      <c r="A108" s="1">
        <v>45764</v>
      </c>
      <c r="B108" t="s">
        <v>9</v>
      </c>
      <c r="C108">
        <v>1255.6300000000001</v>
      </c>
      <c r="D108">
        <v>0</v>
      </c>
      <c r="E108">
        <v>598895.61</v>
      </c>
      <c r="F108">
        <v>69123.3</v>
      </c>
      <c r="G108">
        <v>1204043.29</v>
      </c>
      <c r="H108">
        <v>1.8799999999999999E-3</v>
      </c>
    </row>
    <row r="109" spans="1:8" x14ac:dyDescent="0.35">
      <c r="A109" s="1">
        <v>45765</v>
      </c>
      <c r="B109" t="s">
        <v>8</v>
      </c>
      <c r="C109">
        <v>1123.5</v>
      </c>
      <c r="D109">
        <v>1</v>
      </c>
      <c r="E109">
        <v>431858.65</v>
      </c>
      <c r="F109">
        <v>178337.89</v>
      </c>
      <c r="G109">
        <v>1222381.74</v>
      </c>
      <c r="H109">
        <v>1.841E-3</v>
      </c>
    </row>
    <row r="110" spans="1:8" x14ac:dyDescent="0.35">
      <c r="A110" s="1">
        <v>45766</v>
      </c>
      <c r="B110" t="s">
        <v>9</v>
      </c>
      <c r="C110">
        <v>1307.8900000000001</v>
      </c>
      <c r="D110">
        <v>2</v>
      </c>
      <c r="E110">
        <v>493386.28</v>
      </c>
      <c r="F110">
        <v>226267.58</v>
      </c>
      <c r="G110">
        <v>1351512.27</v>
      </c>
      <c r="H110">
        <v>1.817E-3</v>
      </c>
    </row>
    <row r="111" spans="1:8" x14ac:dyDescent="0.35">
      <c r="A111" s="1">
        <v>45767</v>
      </c>
      <c r="B111" t="s">
        <v>11</v>
      </c>
      <c r="C111">
        <v>1051.29</v>
      </c>
      <c r="D111">
        <v>3</v>
      </c>
      <c r="E111">
        <v>460396.33</v>
      </c>
      <c r="F111">
        <v>185883.3</v>
      </c>
      <c r="G111">
        <v>1098158.75</v>
      </c>
      <c r="H111">
        <v>1.627E-3</v>
      </c>
    </row>
    <row r="112" spans="1:8" x14ac:dyDescent="0.35">
      <c r="A112" s="1">
        <v>45768</v>
      </c>
      <c r="B112" t="s">
        <v>10</v>
      </c>
      <c r="C112">
        <v>1016.41</v>
      </c>
      <c r="D112">
        <v>3</v>
      </c>
      <c r="E112">
        <v>443604.95</v>
      </c>
      <c r="F112">
        <v>201007.26</v>
      </c>
      <c r="G112">
        <v>985563.51</v>
      </c>
      <c r="H112">
        <v>1.5770000000000001E-3</v>
      </c>
    </row>
    <row r="113" spans="1:8" x14ac:dyDescent="0.35">
      <c r="A113" s="1">
        <v>45769</v>
      </c>
      <c r="B113" t="s">
        <v>11</v>
      </c>
      <c r="C113">
        <v>1008.86</v>
      </c>
      <c r="D113">
        <v>4</v>
      </c>
      <c r="E113">
        <v>502138.52</v>
      </c>
      <c r="F113">
        <v>255834.71</v>
      </c>
      <c r="G113">
        <v>857399.12</v>
      </c>
      <c r="H113">
        <v>1.3309999999999999E-3</v>
      </c>
    </row>
    <row r="114" spans="1:8" x14ac:dyDescent="0.35">
      <c r="A114" s="1">
        <v>45770</v>
      </c>
      <c r="B114" t="s">
        <v>8</v>
      </c>
      <c r="C114">
        <v>1580.8</v>
      </c>
      <c r="D114">
        <v>1</v>
      </c>
      <c r="E114">
        <v>632763.43999999994</v>
      </c>
      <c r="F114">
        <v>190428.02</v>
      </c>
      <c r="G114">
        <v>1267571.8600000001</v>
      </c>
      <c r="H114">
        <v>1.92E-3</v>
      </c>
    </row>
    <row r="115" spans="1:8" x14ac:dyDescent="0.35">
      <c r="A115" s="1">
        <v>45771</v>
      </c>
      <c r="B115" t="s">
        <v>9</v>
      </c>
      <c r="C115">
        <v>1178.5899999999999</v>
      </c>
      <c r="D115">
        <v>1</v>
      </c>
      <c r="E115">
        <v>507513.11</v>
      </c>
      <c r="F115">
        <v>207978.34</v>
      </c>
      <c r="G115">
        <v>1106154.69</v>
      </c>
      <c r="H115">
        <v>1.647E-3</v>
      </c>
    </row>
    <row r="116" spans="1:8" x14ac:dyDescent="0.35">
      <c r="A116" s="1">
        <v>45772</v>
      </c>
      <c r="B116" t="s">
        <v>10</v>
      </c>
      <c r="C116">
        <v>1190.52</v>
      </c>
      <c r="D116">
        <v>1</v>
      </c>
      <c r="E116">
        <v>497477.26</v>
      </c>
      <c r="F116">
        <v>91128.55</v>
      </c>
      <c r="G116">
        <v>1036411.88</v>
      </c>
      <c r="H116">
        <v>2.0230000000000001E-3</v>
      </c>
    </row>
    <row r="117" spans="1:8" x14ac:dyDescent="0.35">
      <c r="A117" s="1">
        <v>45773</v>
      </c>
      <c r="B117" t="s">
        <v>8</v>
      </c>
      <c r="C117">
        <v>1077.23</v>
      </c>
      <c r="D117">
        <v>3</v>
      </c>
      <c r="E117">
        <v>470844.08</v>
      </c>
      <c r="F117">
        <v>204839.64</v>
      </c>
      <c r="G117">
        <v>867425.38</v>
      </c>
      <c r="H117">
        <v>1.5939999999999999E-3</v>
      </c>
    </row>
    <row r="118" spans="1:8" x14ac:dyDescent="0.35">
      <c r="A118" s="1">
        <v>45774</v>
      </c>
      <c r="B118" t="s">
        <v>9</v>
      </c>
      <c r="C118">
        <v>947.42</v>
      </c>
      <c r="D118">
        <v>2</v>
      </c>
      <c r="E118">
        <v>343726.72</v>
      </c>
      <c r="F118">
        <v>239531.14</v>
      </c>
      <c r="G118">
        <v>948253.01</v>
      </c>
      <c r="H118">
        <v>1.624E-3</v>
      </c>
    </row>
    <row r="119" spans="1:8" x14ac:dyDescent="0.35">
      <c r="A119" s="1">
        <v>45775</v>
      </c>
      <c r="B119" t="s">
        <v>10</v>
      </c>
      <c r="C119">
        <v>1077.5</v>
      </c>
      <c r="D119">
        <v>1</v>
      </c>
      <c r="E119">
        <v>498337.54</v>
      </c>
      <c r="F119">
        <v>101485.84</v>
      </c>
      <c r="G119">
        <v>1249061.8600000001</v>
      </c>
      <c r="H119">
        <v>1.7960000000000001E-3</v>
      </c>
    </row>
    <row r="120" spans="1:8" x14ac:dyDescent="0.35">
      <c r="A120" s="1">
        <v>45776</v>
      </c>
      <c r="B120" t="s">
        <v>10</v>
      </c>
      <c r="C120">
        <v>913.95</v>
      </c>
      <c r="D120">
        <v>0</v>
      </c>
      <c r="E120">
        <v>384599.63</v>
      </c>
      <c r="F120">
        <v>134726.17000000001</v>
      </c>
      <c r="G120">
        <v>755182.34</v>
      </c>
      <c r="H120">
        <v>1.7600000000000001E-3</v>
      </c>
    </row>
    <row r="121" spans="1:8" x14ac:dyDescent="0.35">
      <c r="A121" s="1">
        <v>45777</v>
      </c>
      <c r="B121" t="s">
        <v>9</v>
      </c>
      <c r="C121">
        <v>1017.97</v>
      </c>
      <c r="D121">
        <v>3</v>
      </c>
      <c r="E121">
        <v>417484.69</v>
      </c>
      <c r="F121">
        <v>193946.05</v>
      </c>
      <c r="G121">
        <v>877588.96</v>
      </c>
      <c r="H121">
        <v>1.665E-3</v>
      </c>
    </row>
    <row r="122" spans="1:8" x14ac:dyDescent="0.35">
      <c r="A122" s="1">
        <v>45778</v>
      </c>
      <c r="B122" t="s">
        <v>10</v>
      </c>
      <c r="C122">
        <v>1043.48</v>
      </c>
      <c r="D122">
        <v>2</v>
      </c>
      <c r="E122">
        <v>466016.46</v>
      </c>
      <c r="F122">
        <v>151310.13</v>
      </c>
      <c r="G122">
        <v>845377.1</v>
      </c>
      <c r="H122">
        <v>1.6900000000000001E-3</v>
      </c>
    </row>
    <row r="123" spans="1:8" x14ac:dyDescent="0.35">
      <c r="A123" s="1">
        <v>45779</v>
      </c>
      <c r="B123" t="s">
        <v>8</v>
      </c>
      <c r="C123">
        <v>1161.78</v>
      </c>
      <c r="D123">
        <v>1</v>
      </c>
      <c r="E123">
        <v>521450.27</v>
      </c>
      <c r="F123">
        <v>74064.399999999994</v>
      </c>
      <c r="G123">
        <v>1032574.29</v>
      </c>
      <c r="H123">
        <v>1.951E-3</v>
      </c>
    </row>
    <row r="124" spans="1:8" x14ac:dyDescent="0.35">
      <c r="A124" s="1">
        <v>45780</v>
      </c>
      <c r="B124" t="s">
        <v>9</v>
      </c>
      <c r="C124">
        <v>1208.25</v>
      </c>
      <c r="D124">
        <v>0</v>
      </c>
      <c r="E124">
        <v>441756.18</v>
      </c>
      <c r="F124">
        <v>169987.41</v>
      </c>
      <c r="G124">
        <v>1052891.3400000001</v>
      </c>
      <c r="H124">
        <v>1.9750000000000002E-3</v>
      </c>
    </row>
    <row r="125" spans="1:8" x14ac:dyDescent="0.35">
      <c r="A125" s="1">
        <v>45781</v>
      </c>
      <c r="B125" t="s">
        <v>11</v>
      </c>
      <c r="C125">
        <v>730.64</v>
      </c>
      <c r="D125">
        <v>2</v>
      </c>
      <c r="E125">
        <v>282375.56</v>
      </c>
      <c r="F125">
        <v>198340.04</v>
      </c>
      <c r="G125">
        <v>834596.98</v>
      </c>
      <c r="H125">
        <v>1.5200000000000001E-3</v>
      </c>
    </row>
    <row r="126" spans="1:8" x14ac:dyDescent="0.35">
      <c r="A126" s="1">
        <v>45782</v>
      </c>
      <c r="B126" t="s">
        <v>8</v>
      </c>
      <c r="C126">
        <v>1145.8599999999999</v>
      </c>
      <c r="D126">
        <v>2</v>
      </c>
      <c r="E126">
        <v>555109.92000000004</v>
      </c>
      <c r="F126">
        <v>91950.29</v>
      </c>
      <c r="G126">
        <v>955876.21</v>
      </c>
      <c r="H126">
        <v>1.771E-3</v>
      </c>
    </row>
    <row r="127" spans="1:8" x14ac:dyDescent="0.35">
      <c r="A127" s="1">
        <v>45783</v>
      </c>
      <c r="B127" t="s">
        <v>8</v>
      </c>
      <c r="C127">
        <v>1373.9</v>
      </c>
      <c r="D127">
        <v>1</v>
      </c>
      <c r="E127">
        <v>518255.92</v>
      </c>
      <c r="F127">
        <v>157456.23000000001</v>
      </c>
      <c r="G127">
        <v>1330717.56</v>
      </c>
      <c r="H127">
        <v>2.0330000000000001E-3</v>
      </c>
    </row>
    <row r="128" spans="1:8" x14ac:dyDescent="0.35">
      <c r="A128" s="1">
        <v>45784</v>
      </c>
      <c r="B128" t="s">
        <v>9</v>
      </c>
      <c r="C128">
        <v>913.77</v>
      </c>
      <c r="D128">
        <v>2</v>
      </c>
      <c r="E128">
        <v>405370.92</v>
      </c>
      <c r="F128">
        <v>151411.75</v>
      </c>
      <c r="G128">
        <v>932798.58</v>
      </c>
      <c r="H128">
        <v>1.6410000000000001E-3</v>
      </c>
    </row>
    <row r="129" spans="1:8" x14ac:dyDescent="0.35">
      <c r="A129" s="1">
        <v>45785</v>
      </c>
      <c r="B129" t="s">
        <v>9</v>
      </c>
      <c r="C129">
        <v>977.55</v>
      </c>
      <c r="D129">
        <v>1</v>
      </c>
      <c r="E129">
        <v>481218.64</v>
      </c>
      <c r="F129">
        <v>184540.87</v>
      </c>
      <c r="G129">
        <v>836830.64</v>
      </c>
      <c r="H129">
        <v>1.4679999999999999E-3</v>
      </c>
    </row>
    <row r="130" spans="1:8" x14ac:dyDescent="0.35">
      <c r="A130" s="1">
        <v>45786</v>
      </c>
      <c r="B130" t="s">
        <v>10</v>
      </c>
      <c r="C130">
        <v>994.35</v>
      </c>
      <c r="D130">
        <v>3</v>
      </c>
      <c r="E130">
        <v>388098.27</v>
      </c>
      <c r="F130">
        <v>191245.13</v>
      </c>
      <c r="G130">
        <v>1047444.68</v>
      </c>
      <c r="H130">
        <v>1.7160000000000001E-3</v>
      </c>
    </row>
    <row r="131" spans="1:8" x14ac:dyDescent="0.35">
      <c r="A131" s="1">
        <v>45787</v>
      </c>
      <c r="B131" t="s">
        <v>8</v>
      </c>
      <c r="C131">
        <v>1365.5</v>
      </c>
      <c r="D131">
        <v>1</v>
      </c>
      <c r="E131">
        <v>648937.34</v>
      </c>
      <c r="F131">
        <v>217660.33</v>
      </c>
      <c r="G131">
        <v>1379527.21</v>
      </c>
      <c r="H131">
        <v>1.5759999999999999E-3</v>
      </c>
    </row>
    <row r="132" spans="1:8" x14ac:dyDescent="0.35">
      <c r="A132" s="1">
        <v>45788</v>
      </c>
      <c r="B132" t="s">
        <v>10</v>
      </c>
      <c r="C132">
        <v>919.04</v>
      </c>
      <c r="D132">
        <v>0</v>
      </c>
      <c r="E132">
        <v>447703.65</v>
      </c>
      <c r="F132">
        <v>67662.66</v>
      </c>
      <c r="G132">
        <v>947164.61</v>
      </c>
      <c r="H132">
        <v>1.7830000000000001E-3</v>
      </c>
    </row>
    <row r="133" spans="1:8" x14ac:dyDescent="0.35">
      <c r="A133" s="1">
        <v>45789</v>
      </c>
      <c r="B133" t="s">
        <v>8</v>
      </c>
      <c r="C133">
        <v>1083.25</v>
      </c>
      <c r="D133">
        <v>2</v>
      </c>
      <c r="E133">
        <v>513962.21</v>
      </c>
      <c r="F133">
        <v>120963.19</v>
      </c>
      <c r="G133">
        <v>871367.94</v>
      </c>
      <c r="H133">
        <v>1.7060000000000001E-3</v>
      </c>
    </row>
    <row r="134" spans="1:8" x14ac:dyDescent="0.35">
      <c r="A134" s="1">
        <v>45790</v>
      </c>
      <c r="B134" t="s">
        <v>8</v>
      </c>
      <c r="C134">
        <v>1238.4000000000001</v>
      </c>
      <c r="D134">
        <v>2</v>
      </c>
      <c r="E134">
        <v>603303.34</v>
      </c>
      <c r="F134">
        <v>152815.57999999999</v>
      </c>
      <c r="G134">
        <v>1180515.75</v>
      </c>
      <c r="H134">
        <v>1.6379999999999999E-3</v>
      </c>
    </row>
    <row r="135" spans="1:8" x14ac:dyDescent="0.35">
      <c r="A135" s="1">
        <v>45791</v>
      </c>
      <c r="B135" t="s">
        <v>11</v>
      </c>
      <c r="C135">
        <v>1047.4000000000001</v>
      </c>
      <c r="D135">
        <v>1</v>
      </c>
      <c r="E135">
        <v>392716.15</v>
      </c>
      <c r="F135">
        <v>180705.04</v>
      </c>
      <c r="G135">
        <v>872612.37</v>
      </c>
      <c r="H135">
        <v>1.8270000000000001E-3</v>
      </c>
    </row>
    <row r="136" spans="1:8" x14ac:dyDescent="0.35">
      <c r="A136" s="1">
        <v>45792</v>
      </c>
      <c r="B136" t="s">
        <v>8</v>
      </c>
      <c r="C136">
        <v>984.85</v>
      </c>
      <c r="D136">
        <v>1</v>
      </c>
      <c r="E136">
        <v>397238.23</v>
      </c>
      <c r="F136">
        <v>177856.89</v>
      </c>
      <c r="G136">
        <v>904923.77</v>
      </c>
      <c r="H136">
        <v>1.712E-3</v>
      </c>
    </row>
    <row r="137" spans="1:8" x14ac:dyDescent="0.35">
      <c r="A137" s="1">
        <v>45793</v>
      </c>
      <c r="B137" t="s">
        <v>10</v>
      </c>
      <c r="C137">
        <v>1087.1500000000001</v>
      </c>
      <c r="D137">
        <v>4</v>
      </c>
      <c r="E137">
        <v>415554.63</v>
      </c>
      <c r="F137">
        <v>134677.47</v>
      </c>
      <c r="G137">
        <v>983771.13</v>
      </c>
      <c r="H137">
        <v>1.9759999999999999E-3</v>
      </c>
    </row>
    <row r="138" spans="1:8" x14ac:dyDescent="0.35">
      <c r="A138" s="1">
        <v>45794</v>
      </c>
      <c r="B138" t="s">
        <v>10</v>
      </c>
      <c r="C138">
        <v>913.65</v>
      </c>
      <c r="D138">
        <v>2</v>
      </c>
      <c r="E138">
        <v>425431.1</v>
      </c>
      <c r="F138">
        <v>105989.74</v>
      </c>
      <c r="G138">
        <v>758383.44</v>
      </c>
      <c r="H138">
        <v>1.719E-3</v>
      </c>
    </row>
    <row r="139" spans="1:8" x14ac:dyDescent="0.35">
      <c r="A139" s="1">
        <v>45795</v>
      </c>
      <c r="B139" t="s">
        <v>11</v>
      </c>
      <c r="C139">
        <v>918.3</v>
      </c>
      <c r="D139">
        <v>3</v>
      </c>
      <c r="E139">
        <v>355346.22</v>
      </c>
      <c r="F139">
        <v>232865.35</v>
      </c>
      <c r="G139">
        <v>1028283.09</v>
      </c>
      <c r="H139">
        <v>1.5610000000000001E-3</v>
      </c>
    </row>
    <row r="140" spans="1:8" x14ac:dyDescent="0.35">
      <c r="A140" s="1">
        <v>45796</v>
      </c>
      <c r="B140" t="s">
        <v>10</v>
      </c>
      <c r="C140">
        <v>836.83</v>
      </c>
      <c r="D140">
        <v>2</v>
      </c>
      <c r="E140">
        <v>408037.22</v>
      </c>
      <c r="F140">
        <v>110522.79</v>
      </c>
      <c r="G140">
        <v>987542.22</v>
      </c>
      <c r="H140">
        <v>1.614E-3</v>
      </c>
    </row>
    <row r="141" spans="1:8" x14ac:dyDescent="0.35">
      <c r="A141" s="1">
        <v>45797</v>
      </c>
      <c r="B141" t="s">
        <v>9</v>
      </c>
      <c r="C141">
        <v>1239.42</v>
      </c>
      <c r="D141">
        <v>1</v>
      </c>
      <c r="E141">
        <v>534544.46</v>
      </c>
      <c r="F141">
        <v>200941.88</v>
      </c>
      <c r="G141">
        <v>1354552.26</v>
      </c>
      <c r="H141">
        <v>1.6850000000000001E-3</v>
      </c>
    </row>
    <row r="142" spans="1:8" x14ac:dyDescent="0.35">
      <c r="A142" s="1">
        <v>45798</v>
      </c>
      <c r="B142" t="s">
        <v>11</v>
      </c>
      <c r="C142">
        <v>983.97</v>
      </c>
      <c r="D142">
        <v>3</v>
      </c>
      <c r="E142">
        <v>377038.47</v>
      </c>
      <c r="F142">
        <v>258150.2</v>
      </c>
      <c r="G142">
        <v>1158744.74</v>
      </c>
      <c r="H142">
        <v>1.549E-3</v>
      </c>
    </row>
    <row r="143" spans="1:8" x14ac:dyDescent="0.35">
      <c r="A143" s="1">
        <v>45799</v>
      </c>
      <c r="B143" t="s">
        <v>10</v>
      </c>
      <c r="C143">
        <v>1162.1199999999999</v>
      </c>
      <c r="D143">
        <v>0</v>
      </c>
      <c r="E143">
        <v>529735.14</v>
      </c>
      <c r="F143">
        <v>188787.25</v>
      </c>
      <c r="G143">
        <v>1013633.57</v>
      </c>
      <c r="H143">
        <v>1.6169999999999999E-3</v>
      </c>
    </row>
    <row r="144" spans="1:8" x14ac:dyDescent="0.35">
      <c r="A144" s="1">
        <v>45800</v>
      </c>
      <c r="B144" t="s">
        <v>10</v>
      </c>
      <c r="C144">
        <v>1122.77</v>
      </c>
      <c r="D144">
        <v>0</v>
      </c>
      <c r="E144">
        <v>510427.12</v>
      </c>
      <c r="F144">
        <v>94602.35</v>
      </c>
      <c r="G144">
        <v>1313372.8999999999</v>
      </c>
      <c r="H144">
        <v>1.856E-3</v>
      </c>
    </row>
    <row r="145" spans="1:8" x14ac:dyDescent="0.35">
      <c r="A145" s="1">
        <v>45801</v>
      </c>
      <c r="B145" t="s">
        <v>9</v>
      </c>
      <c r="C145">
        <v>1120.08</v>
      </c>
      <c r="D145">
        <v>5</v>
      </c>
      <c r="E145">
        <v>531294.39</v>
      </c>
      <c r="F145">
        <v>155551.15</v>
      </c>
      <c r="G145">
        <v>1163209.02</v>
      </c>
      <c r="H145">
        <v>1.6310000000000001E-3</v>
      </c>
    </row>
    <row r="146" spans="1:8" x14ac:dyDescent="0.35">
      <c r="A146" s="1">
        <v>45802</v>
      </c>
      <c r="B146" t="s">
        <v>11</v>
      </c>
      <c r="C146">
        <v>834.83</v>
      </c>
      <c r="D146">
        <v>0</v>
      </c>
      <c r="E146">
        <v>379380.9</v>
      </c>
      <c r="F146">
        <v>100981.24</v>
      </c>
      <c r="G146">
        <v>909881.98</v>
      </c>
      <c r="H146">
        <v>1.738E-3</v>
      </c>
    </row>
    <row r="147" spans="1:8" x14ac:dyDescent="0.35">
      <c r="A147" s="1">
        <v>45803</v>
      </c>
      <c r="B147" t="s">
        <v>9</v>
      </c>
      <c r="C147">
        <v>1053.6199999999999</v>
      </c>
      <c r="D147">
        <v>0</v>
      </c>
      <c r="E147">
        <v>418598.09</v>
      </c>
      <c r="F147">
        <v>130923.69</v>
      </c>
      <c r="G147">
        <v>1176149.3600000001</v>
      </c>
      <c r="H147">
        <v>1.9170000000000001E-3</v>
      </c>
    </row>
    <row r="148" spans="1:8" x14ac:dyDescent="0.35">
      <c r="A148" s="1">
        <v>45804</v>
      </c>
      <c r="B148" t="s">
        <v>11</v>
      </c>
      <c r="C148">
        <v>1054.78</v>
      </c>
      <c r="D148">
        <v>2</v>
      </c>
      <c r="E148">
        <v>373032.44</v>
      </c>
      <c r="F148">
        <v>220514.83</v>
      </c>
      <c r="G148">
        <v>852795.14</v>
      </c>
      <c r="H148">
        <v>1.7769999999999999E-3</v>
      </c>
    </row>
    <row r="149" spans="1:8" x14ac:dyDescent="0.35">
      <c r="A149" s="1">
        <v>45805</v>
      </c>
      <c r="B149" t="s">
        <v>11</v>
      </c>
      <c r="C149">
        <v>677.17</v>
      </c>
      <c r="D149">
        <v>5</v>
      </c>
      <c r="E149">
        <v>314935.15000000002</v>
      </c>
      <c r="F149">
        <v>210289.64</v>
      </c>
      <c r="G149">
        <v>671714.93</v>
      </c>
      <c r="H149">
        <v>1.289E-3</v>
      </c>
    </row>
    <row r="150" spans="1:8" x14ac:dyDescent="0.35">
      <c r="A150" s="1">
        <v>45806</v>
      </c>
      <c r="B150" t="s">
        <v>8</v>
      </c>
      <c r="C150">
        <v>1337.97</v>
      </c>
      <c r="D150">
        <v>3</v>
      </c>
      <c r="E150">
        <v>616320.85</v>
      </c>
      <c r="F150">
        <v>145816.57</v>
      </c>
      <c r="G150">
        <v>1129503.8999999999</v>
      </c>
      <c r="H150">
        <v>1.756E-3</v>
      </c>
    </row>
    <row r="151" spans="1:8" x14ac:dyDescent="0.35">
      <c r="A151" s="1">
        <v>45807</v>
      </c>
      <c r="B151" t="s">
        <v>10</v>
      </c>
      <c r="C151">
        <v>1047.08</v>
      </c>
      <c r="D151">
        <v>1</v>
      </c>
      <c r="E151">
        <v>413016.47</v>
      </c>
      <c r="F151">
        <v>105041.16</v>
      </c>
      <c r="G151">
        <v>855293.4</v>
      </c>
      <c r="H151">
        <v>2.0209999999999998E-3</v>
      </c>
    </row>
    <row r="152" spans="1:8" x14ac:dyDescent="0.35">
      <c r="A152" s="1">
        <v>45808</v>
      </c>
      <c r="B152" t="s">
        <v>10</v>
      </c>
      <c r="C152">
        <v>709.95</v>
      </c>
      <c r="D152">
        <v>3</v>
      </c>
      <c r="E152">
        <v>258003.47</v>
      </c>
      <c r="F152">
        <v>172637.12</v>
      </c>
      <c r="G152">
        <v>817610.01</v>
      </c>
      <c r="H152">
        <v>1.6490000000000001E-3</v>
      </c>
    </row>
    <row r="153" spans="1:8" x14ac:dyDescent="0.35">
      <c r="A153" s="1">
        <v>45809</v>
      </c>
      <c r="B153" t="s">
        <v>8</v>
      </c>
      <c r="C153">
        <v>1018.89</v>
      </c>
      <c r="D153">
        <v>3</v>
      </c>
      <c r="E153">
        <v>508095.58</v>
      </c>
      <c r="F153">
        <v>144750.76</v>
      </c>
      <c r="G153">
        <v>1199328.73</v>
      </c>
      <c r="H153">
        <v>1.5610000000000001E-3</v>
      </c>
    </row>
    <row r="154" spans="1:8" x14ac:dyDescent="0.35">
      <c r="A154" s="1">
        <v>45810</v>
      </c>
      <c r="B154" t="s">
        <v>9</v>
      </c>
      <c r="C154">
        <v>1275.07</v>
      </c>
      <c r="D154">
        <v>1</v>
      </c>
      <c r="E154">
        <v>480035.62</v>
      </c>
      <c r="F154">
        <v>103072.93</v>
      </c>
      <c r="G154">
        <v>1115140.74</v>
      </c>
      <c r="H154">
        <v>2.1870000000000001E-3</v>
      </c>
    </row>
    <row r="155" spans="1:8" x14ac:dyDescent="0.35">
      <c r="A155" s="1">
        <v>45811</v>
      </c>
      <c r="B155" t="s">
        <v>8</v>
      </c>
      <c r="C155">
        <v>1443.17</v>
      </c>
      <c r="D155">
        <v>2</v>
      </c>
      <c r="E155">
        <v>714894.64</v>
      </c>
      <c r="F155">
        <v>222567.88</v>
      </c>
      <c r="G155">
        <v>1690093.35</v>
      </c>
      <c r="H155">
        <v>1.539E-3</v>
      </c>
    </row>
    <row r="156" spans="1:8" x14ac:dyDescent="0.35">
      <c r="A156" s="1">
        <v>45812</v>
      </c>
      <c r="B156" t="s">
        <v>10</v>
      </c>
      <c r="C156">
        <v>1213.08</v>
      </c>
      <c r="D156">
        <v>1</v>
      </c>
      <c r="E156">
        <v>573026.56999999995</v>
      </c>
      <c r="F156">
        <v>103666.09</v>
      </c>
      <c r="G156">
        <v>1079063.5900000001</v>
      </c>
      <c r="H156">
        <v>1.7930000000000001E-3</v>
      </c>
    </row>
    <row r="157" spans="1:8" x14ac:dyDescent="0.35">
      <c r="A157" s="1">
        <v>45813</v>
      </c>
      <c r="B157" t="s">
        <v>10</v>
      </c>
      <c r="C157">
        <v>914.39</v>
      </c>
      <c r="D157">
        <v>3</v>
      </c>
      <c r="E157">
        <v>440386.78</v>
      </c>
      <c r="F157">
        <v>149840.01</v>
      </c>
      <c r="G157">
        <v>778881.2</v>
      </c>
      <c r="H157">
        <v>1.549E-3</v>
      </c>
    </row>
    <row r="158" spans="1:8" x14ac:dyDescent="0.35">
      <c r="A158" s="1">
        <v>45814</v>
      </c>
      <c r="B158" t="s">
        <v>8</v>
      </c>
      <c r="C158">
        <v>1242.8800000000001</v>
      </c>
      <c r="D158">
        <v>2</v>
      </c>
      <c r="E158">
        <v>511156.67</v>
      </c>
      <c r="F158">
        <v>145903.28</v>
      </c>
      <c r="G158">
        <v>1123440.94</v>
      </c>
      <c r="H158">
        <v>1.892E-3</v>
      </c>
    </row>
    <row r="159" spans="1:8" x14ac:dyDescent="0.35">
      <c r="A159" s="1">
        <v>45815</v>
      </c>
      <c r="B159" t="s">
        <v>8</v>
      </c>
      <c r="C159">
        <v>1250.17</v>
      </c>
      <c r="D159">
        <v>2</v>
      </c>
      <c r="E159">
        <v>478848.9</v>
      </c>
      <c r="F159">
        <v>192488.81</v>
      </c>
      <c r="G159">
        <v>1038205.38</v>
      </c>
      <c r="H159">
        <v>1.8619999999999999E-3</v>
      </c>
    </row>
    <row r="160" spans="1:8" x14ac:dyDescent="0.35">
      <c r="A160" s="1">
        <v>45816</v>
      </c>
      <c r="B160" t="s">
        <v>8</v>
      </c>
      <c r="C160">
        <v>1197.54</v>
      </c>
      <c r="D160">
        <v>3</v>
      </c>
      <c r="E160">
        <v>540930.17000000004</v>
      </c>
      <c r="F160">
        <v>194859.79</v>
      </c>
      <c r="G160">
        <v>1085939.7</v>
      </c>
      <c r="H160">
        <v>1.6280000000000001E-3</v>
      </c>
    </row>
    <row r="161" spans="1:8" x14ac:dyDescent="0.35">
      <c r="A161" s="1">
        <v>45817</v>
      </c>
      <c r="B161" t="s">
        <v>10</v>
      </c>
      <c r="C161">
        <v>1178.26</v>
      </c>
      <c r="D161">
        <v>8</v>
      </c>
      <c r="E161">
        <v>521723.31</v>
      </c>
      <c r="F161">
        <v>322907.5</v>
      </c>
      <c r="G161">
        <v>1017358.35</v>
      </c>
      <c r="H161">
        <v>1.395E-3</v>
      </c>
    </row>
    <row r="162" spans="1:8" x14ac:dyDescent="0.35">
      <c r="A162" s="1">
        <v>45818</v>
      </c>
      <c r="B162" t="s">
        <v>8</v>
      </c>
      <c r="C162">
        <v>1144.45</v>
      </c>
      <c r="D162">
        <v>1</v>
      </c>
      <c r="E162">
        <v>540976.56000000006</v>
      </c>
      <c r="F162">
        <v>194820.13</v>
      </c>
      <c r="G162">
        <v>1147870.08</v>
      </c>
      <c r="H162">
        <v>1.555E-3</v>
      </c>
    </row>
    <row r="163" spans="1:8" x14ac:dyDescent="0.35">
      <c r="A163" s="1">
        <v>45819</v>
      </c>
      <c r="B163" t="s">
        <v>8</v>
      </c>
      <c r="C163">
        <v>1074.97</v>
      </c>
      <c r="D163">
        <v>0</v>
      </c>
      <c r="E163">
        <v>422521.59</v>
      </c>
      <c r="F163">
        <v>142539.04</v>
      </c>
      <c r="G163">
        <v>1281869.69</v>
      </c>
      <c r="H163">
        <v>1.902E-3</v>
      </c>
    </row>
    <row r="164" spans="1:8" x14ac:dyDescent="0.35">
      <c r="A164" s="1">
        <v>45820</v>
      </c>
      <c r="B164" t="s">
        <v>9</v>
      </c>
      <c r="C164">
        <v>896.02</v>
      </c>
      <c r="D164">
        <v>3</v>
      </c>
      <c r="E164">
        <v>415892.17</v>
      </c>
      <c r="F164">
        <v>191189.99</v>
      </c>
      <c r="G164">
        <v>1061961.9099999999</v>
      </c>
      <c r="H164">
        <v>1.4760000000000001E-3</v>
      </c>
    </row>
    <row r="165" spans="1:8" x14ac:dyDescent="0.35">
      <c r="A165" s="1">
        <v>45821</v>
      </c>
      <c r="B165" t="s">
        <v>8</v>
      </c>
      <c r="C165">
        <v>1311.94</v>
      </c>
      <c r="D165">
        <v>3</v>
      </c>
      <c r="E165">
        <v>643616.17000000004</v>
      </c>
      <c r="F165">
        <v>213182.86</v>
      </c>
      <c r="G165">
        <v>1085149.6399999999</v>
      </c>
      <c r="H165">
        <v>1.531E-3</v>
      </c>
    </row>
    <row r="166" spans="1:8" x14ac:dyDescent="0.35">
      <c r="A166" s="1">
        <v>45822</v>
      </c>
      <c r="B166" t="s">
        <v>10</v>
      </c>
      <c r="C166">
        <v>1161.04</v>
      </c>
      <c r="D166">
        <v>0</v>
      </c>
      <c r="E166">
        <v>507754.56</v>
      </c>
      <c r="F166">
        <v>101882.46</v>
      </c>
      <c r="G166">
        <v>1217200.0900000001</v>
      </c>
      <c r="H166">
        <v>1.9040000000000001E-3</v>
      </c>
    </row>
    <row r="167" spans="1:8" x14ac:dyDescent="0.35">
      <c r="A167" s="1">
        <v>45823</v>
      </c>
      <c r="B167" t="s">
        <v>9</v>
      </c>
      <c r="C167">
        <v>946.02</v>
      </c>
      <c r="D167">
        <v>0</v>
      </c>
      <c r="E167">
        <v>454781.99</v>
      </c>
      <c r="F167">
        <v>196023.35</v>
      </c>
      <c r="G167">
        <v>1123450.3400000001</v>
      </c>
      <c r="H167">
        <v>1.454E-3</v>
      </c>
    </row>
    <row r="168" spans="1:8" x14ac:dyDescent="0.35">
      <c r="A168" s="1">
        <v>45824</v>
      </c>
      <c r="B168" t="s">
        <v>11</v>
      </c>
      <c r="C168">
        <v>816.16</v>
      </c>
      <c r="D168">
        <v>1</v>
      </c>
      <c r="E168">
        <v>288365.06</v>
      </c>
      <c r="F168">
        <v>118541.53</v>
      </c>
      <c r="G168">
        <v>812454.13</v>
      </c>
      <c r="H168">
        <v>2.006E-3</v>
      </c>
    </row>
    <row r="169" spans="1:8" x14ac:dyDescent="0.35">
      <c r="A169" s="1">
        <v>45825</v>
      </c>
      <c r="B169" t="s">
        <v>10</v>
      </c>
      <c r="C169">
        <v>1056.58</v>
      </c>
      <c r="D169">
        <v>3</v>
      </c>
      <c r="E169">
        <v>527835.16</v>
      </c>
      <c r="F169">
        <v>173927.2</v>
      </c>
      <c r="G169">
        <v>1036036.35</v>
      </c>
      <c r="H169">
        <v>1.506E-3</v>
      </c>
    </row>
    <row r="170" spans="1:8" x14ac:dyDescent="0.35">
      <c r="A170" s="1">
        <v>45826</v>
      </c>
      <c r="B170" t="s">
        <v>10</v>
      </c>
      <c r="C170">
        <v>1066</v>
      </c>
      <c r="D170">
        <v>2</v>
      </c>
      <c r="E170">
        <v>481912.82</v>
      </c>
      <c r="F170">
        <v>188176.68</v>
      </c>
      <c r="G170">
        <v>969319.83</v>
      </c>
      <c r="H170">
        <v>1.591E-3</v>
      </c>
    </row>
    <row r="171" spans="1:8" x14ac:dyDescent="0.35">
      <c r="A171" s="1">
        <v>45827</v>
      </c>
      <c r="B171" t="s">
        <v>11</v>
      </c>
      <c r="C171">
        <v>824.69</v>
      </c>
      <c r="D171">
        <v>2</v>
      </c>
      <c r="E171">
        <v>405371.01</v>
      </c>
      <c r="F171">
        <v>152959.1</v>
      </c>
      <c r="G171">
        <v>870388.36</v>
      </c>
      <c r="H171">
        <v>1.477E-3</v>
      </c>
    </row>
    <row r="172" spans="1:8" x14ac:dyDescent="0.35">
      <c r="A172" s="1">
        <v>45828</v>
      </c>
      <c r="B172" t="s">
        <v>10</v>
      </c>
      <c r="C172">
        <v>771.17</v>
      </c>
      <c r="D172">
        <v>3</v>
      </c>
      <c r="E172">
        <v>294560.96000000002</v>
      </c>
      <c r="F172">
        <v>114670.11</v>
      </c>
      <c r="G172">
        <v>817955.66</v>
      </c>
      <c r="H172">
        <v>1.884E-3</v>
      </c>
    </row>
    <row r="173" spans="1:8" x14ac:dyDescent="0.35">
      <c r="A173" s="1">
        <v>45829</v>
      </c>
      <c r="B173" t="s">
        <v>11</v>
      </c>
      <c r="C173">
        <v>796.21</v>
      </c>
      <c r="D173">
        <v>4</v>
      </c>
      <c r="E173">
        <v>382416.29</v>
      </c>
      <c r="F173">
        <v>246489.53</v>
      </c>
      <c r="G173">
        <v>882498.47</v>
      </c>
      <c r="H173">
        <v>1.266E-3</v>
      </c>
    </row>
    <row r="174" spans="1:8" x14ac:dyDescent="0.35">
      <c r="A174" s="1">
        <v>45830</v>
      </c>
      <c r="B174" t="s">
        <v>11</v>
      </c>
      <c r="C174">
        <v>968.99</v>
      </c>
      <c r="D174">
        <v>1</v>
      </c>
      <c r="E174">
        <v>343873.9</v>
      </c>
      <c r="F174">
        <v>208127.18</v>
      </c>
      <c r="G174">
        <v>1014202.52</v>
      </c>
      <c r="H174">
        <v>1.755E-3</v>
      </c>
    </row>
    <row r="175" spans="1:8" x14ac:dyDescent="0.35">
      <c r="A175" s="1">
        <v>45831</v>
      </c>
      <c r="B175" t="s">
        <v>10</v>
      </c>
      <c r="C175">
        <v>1091.1300000000001</v>
      </c>
      <c r="D175">
        <v>2</v>
      </c>
      <c r="E175">
        <v>402383.54</v>
      </c>
      <c r="F175">
        <v>192834.79</v>
      </c>
      <c r="G175">
        <v>1060709.1000000001</v>
      </c>
      <c r="H175">
        <v>1.833E-3</v>
      </c>
    </row>
    <row r="176" spans="1:8" x14ac:dyDescent="0.35">
      <c r="A176" s="1">
        <v>45832</v>
      </c>
      <c r="B176" t="s">
        <v>8</v>
      </c>
      <c r="C176">
        <v>1193.98</v>
      </c>
      <c r="D176">
        <v>0</v>
      </c>
      <c r="E176">
        <v>522120.72</v>
      </c>
      <c r="F176">
        <v>90349.01</v>
      </c>
      <c r="G176">
        <v>1336087.71</v>
      </c>
      <c r="H176">
        <v>1.949E-3</v>
      </c>
    </row>
    <row r="177" spans="1:8" x14ac:dyDescent="0.35">
      <c r="A177" s="1">
        <v>45833</v>
      </c>
      <c r="B177" t="s">
        <v>8</v>
      </c>
      <c r="C177">
        <v>985.38</v>
      </c>
      <c r="D177">
        <v>2</v>
      </c>
      <c r="E177">
        <v>355592.5</v>
      </c>
      <c r="F177">
        <v>148874.03</v>
      </c>
      <c r="G177">
        <v>977476.56</v>
      </c>
      <c r="H177">
        <v>1.9530000000000001E-3</v>
      </c>
    </row>
    <row r="178" spans="1:8" x14ac:dyDescent="0.35">
      <c r="A178" s="1">
        <v>45834</v>
      </c>
      <c r="B178" t="s">
        <v>11</v>
      </c>
      <c r="C178">
        <v>662.41</v>
      </c>
      <c r="D178">
        <v>3</v>
      </c>
      <c r="E178">
        <v>279589.32</v>
      </c>
      <c r="F178">
        <v>125739.53</v>
      </c>
      <c r="G178">
        <v>594065.31999999995</v>
      </c>
      <c r="H178">
        <v>1.634E-3</v>
      </c>
    </row>
    <row r="179" spans="1:8" x14ac:dyDescent="0.35">
      <c r="A179" s="1">
        <v>45835</v>
      </c>
      <c r="B179" t="s">
        <v>9</v>
      </c>
      <c r="C179">
        <v>1214.06</v>
      </c>
      <c r="D179">
        <v>2</v>
      </c>
      <c r="E179">
        <v>537493.69999999995</v>
      </c>
      <c r="F179">
        <v>195369.75</v>
      </c>
      <c r="G179">
        <v>1243029.08</v>
      </c>
      <c r="H179">
        <v>1.6570000000000001E-3</v>
      </c>
    </row>
    <row r="180" spans="1:8" x14ac:dyDescent="0.35">
      <c r="A180" s="1">
        <v>45836</v>
      </c>
      <c r="B180" t="s">
        <v>11</v>
      </c>
      <c r="C180">
        <v>768.55</v>
      </c>
      <c r="D180">
        <v>1</v>
      </c>
      <c r="E180">
        <v>278052.02</v>
      </c>
      <c r="F180">
        <v>129538.49</v>
      </c>
      <c r="G180">
        <v>655641.35</v>
      </c>
      <c r="H180">
        <v>1.8860000000000001E-3</v>
      </c>
    </row>
    <row r="181" spans="1:8" x14ac:dyDescent="0.35">
      <c r="A181" s="1">
        <v>45837</v>
      </c>
      <c r="B181" t="s">
        <v>11</v>
      </c>
      <c r="C181">
        <v>905.65</v>
      </c>
      <c r="D181">
        <v>3</v>
      </c>
      <c r="E181">
        <v>339729.23</v>
      </c>
      <c r="F181">
        <v>125685.18</v>
      </c>
      <c r="G181">
        <v>955072.2</v>
      </c>
      <c r="H181">
        <v>1.946E-3</v>
      </c>
    </row>
    <row r="182" spans="1:8" x14ac:dyDescent="0.35">
      <c r="A182" s="1">
        <v>45838</v>
      </c>
      <c r="B182" t="s">
        <v>11</v>
      </c>
      <c r="C182">
        <v>1171.8</v>
      </c>
      <c r="D182">
        <v>5</v>
      </c>
      <c r="E182">
        <v>567410.48</v>
      </c>
      <c r="F182">
        <v>232138.86</v>
      </c>
      <c r="G182">
        <v>1320520.45</v>
      </c>
      <c r="H182">
        <v>1.4660000000000001E-3</v>
      </c>
    </row>
    <row r="183" spans="1:8" x14ac:dyDescent="0.35">
      <c r="A183" s="1">
        <v>45839</v>
      </c>
      <c r="B183" t="s">
        <v>8</v>
      </c>
      <c r="C183">
        <v>1253.69</v>
      </c>
      <c r="D183">
        <v>3</v>
      </c>
      <c r="E183">
        <v>454141.89</v>
      </c>
      <c r="F183">
        <v>119052.81</v>
      </c>
      <c r="G183">
        <v>1126867.32</v>
      </c>
      <c r="H183">
        <v>2.1870000000000001E-3</v>
      </c>
    </row>
    <row r="184" spans="1:8" x14ac:dyDescent="0.35">
      <c r="A184" s="1">
        <v>45840</v>
      </c>
      <c r="B184" t="s">
        <v>8</v>
      </c>
      <c r="C184">
        <v>1045.26</v>
      </c>
      <c r="D184">
        <v>4</v>
      </c>
      <c r="E184">
        <v>401661.56</v>
      </c>
      <c r="F184">
        <v>279450.09000000003</v>
      </c>
      <c r="G184">
        <v>1243777.1599999999</v>
      </c>
      <c r="H184">
        <v>1.5349999999999999E-3</v>
      </c>
    </row>
    <row r="185" spans="1:8" x14ac:dyDescent="0.35">
      <c r="A185" s="1">
        <v>45841</v>
      </c>
      <c r="B185" t="s">
        <v>8</v>
      </c>
      <c r="C185">
        <v>1120.6099999999999</v>
      </c>
      <c r="D185">
        <v>1</v>
      </c>
      <c r="E185">
        <v>506551.94</v>
      </c>
      <c r="F185">
        <v>80829.759999999995</v>
      </c>
      <c r="G185">
        <v>910223.95</v>
      </c>
      <c r="H185">
        <v>1.908E-3</v>
      </c>
    </row>
    <row r="186" spans="1:8" x14ac:dyDescent="0.35">
      <c r="A186" s="1">
        <v>45842</v>
      </c>
      <c r="B186" t="s">
        <v>11</v>
      </c>
      <c r="C186">
        <v>861.39</v>
      </c>
      <c r="D186">
        <v>4</v>
      </c>
      <c r="E186">
        <v>349429.29</v>
      </c>
      <c r="F186">
        <v>278147.43</v>
      </c>
      <c r="G186">
        <v>702934.73</v>
      </c>
      <c r="H186">
        <v>1.3730000000000001E-3</v>
      </c>
    </row>
    <row r="187" spans="1:8" x14ac:dyDescent="0.35">
      <c r="A187" s="1">
        <v>45843</v>
      </c>
      <c r="B187" t="s">
        <v>9</v>
      </c>
      <c r="C187">
        <v>849.71</v>
      </c>
      <c r="D187">
        <v>4</v>
      </c>
      <c r="E187">
        <v>408723.12</v>
      </c>
      <c r="F187">
        <v>265105.28000000003</v>
      </c>
      <c r="G187">
        <v>823106.51</v>
      </c>
      <c r="H187">
        <v>1.261E-3</v>
      </c>
    </row>
    <row r="188" spans="1:8" x14ac:dyDescent="0.35">
      <c r="A188" s="1">
        <v>45844</v>
      </c>
      <c r="B188" t="s">
        <v>8</v>
      </c>
      <c r="C188">
        <v>1297.8499999999999</v>
      </c>
      <c r="D188">
        <v>2</v>
      </c>
      <c r="E188">
        <v>577197.37</v>
      </c>
      <c r="F188">
        <v>199966.95</v>
      </c>
      <c r="G188">
        <v>1106580.71</v>
      </c>
      <c r="H188">
        <v>1.67E-3</v>
      </c>
    </row>
    <row r="189" spans="1:8" x14ac:dyDescent="0.35">
      <c r="A189" s="1">
        <v>45845</v>
      </c>
      <c r="B189" t="s">
        <v>10</v>
      </c>
      <c r="C189">
        <v>763.54</v>
      </c>
      <c r="D189">
        <v>2</v>
      </c>
      <c r="E189">
        <v>294445.53000000003</v>
      </c>
      <c r="F189">
        <v>235709.26</v>
      </c>
      <c r="G189">
        <v>666106.28</v>
      </c>
      <c r="H189">
        <v>1.4400000000000001E-3</v>
      </c>
    </row>
    <row r="190" spans="1:8" x14ac:dyDescent="0.35">
      <c r="A190" s="1">
        <v>45846</v>
      </c>
      <c r="B190" t="s">
        <v>10</v>
      </c>
      <c r="C190">
        <v>996.17</v>
      </c>
      <c r="D190">
        <v>2</v>
      </c>
      <c r="E190">
        <v>425585.01</v>
      </c>
      <c r="F190">
        <v>143885.01</v>
      </c>
      <c r="G190">
        <v>1033204.71</v>
      </c>
      <c r="H190">
        <v>1.7489999999999999E-3</v>
      </c>
    </row>
    <row r="191" spans="1:8" x14ac:dyDescent="0.35">
      <c r="A191" s="1">
        <v>45847</v>
      </c>
      <c r="B191" t="s">
        <v>10</v>
      </c>
      <c r="C191">
        <v>1175.9100000000001</v>
      </c>
      <c r="D191">
        <v>1</v>
      </c>
      <c r="E191">
        <v>582559.43000000005</v>
      </c>
      <c r="F191">
        <v>108720.01</v>
      </c>
      <c r="G191">
        <v>1249632.6000000001</v>
      </c>
      <c r="H191">
        <v>1.701E-3</v>
      </c>
    </row>
    <row r="192" spans="1:8" x14ac:dyDescent="0.35">
      <c r="A192" s="1">
        <v>45848</v>
      </c>
      <c r="B192" t="s">
        <v>11</v>
      </c>
      <c r="C192">
        <v>1066.1600000000001</v>
      </c>
      <c r="D192">
        <v>0</v>
      </c>
      <c r="E192">
        <v>528252.69999999995</v>
      </c>
      <c r="F192">
        <v>118068.43</v>
      </c>
      <c r="G192">
        <v>953593.3</v>
      </c>
      <c r="H192">
        <v>1.65E-3</v>
      </c>
    </row>
    <row r="193" spans="1:8" x14ac:dyDescent="0.35">
      <c r="A193" s="1">
        <v>45849</v>
      </c>
      <c r="B193" t="s">
        <v>10</v>
      </c>
      <c r="C193">
        <v>893.79</v>
      </c>
      <c r="D193">
        <v>0</v>
      </c>
      <c r="E193">
        <v>335585</v>
      </c>
      <c r="F193">
        <v>127966.09</v>
      </c>
      <c r="G193">
        <v>835514.32</v>
      </c>
      <c r="H193">
        <v>1.928E-3</v>
      </c>
    </row>
    <row r="194" spans="1:8" x14ac:dyDescent="0.35">
      <c r="A194" s="1">
        <v>45850</v>
      </c>
      <c r="B194" t="s">
        <v>11</v>
      </c>
      <c r="C194">
        <v>861.11</v>
      </c>
      <c r="D194">
        <v>2</v>
      </c>
      <c r="E194">
        <v>322965.63</v>
      </c>
      <c r="F194">
        <v>115142.88</v>
      </c>
      <c r="G194">
        <v>701521.24</v>
      </c>
      <c r="H194">
        <v>1.9659999999999999E-3</v>
      </c>
    </row>
    <row r="195" spans="1:8" x14ac:dyDescent="0.35">
      <c r="A195" s="1">
        <v>45851</v>
      </c>
      <c r="B195" t="s">
        <v>10</v>
      </c>
      <c r="C195">
        <v>1185.05</v>
      </c>
      <c r="D195">
        <v>5</v>
      </c>
      <c r="E195">
        <v>569110.68999999994</v>
      </c>
      <c r="F195">
        <v>180876.18</v>
      </c>
      <c r="G195">
        <v>1001094.7</v>
      </c>
      <c r="H195">
        <v>1.58E-3</v>
      </c>
    </row>
    <row r="196" spans="1:8" x14ac:dyDescent="0.35">
      <c r="A196" s="1">
        <v>45852</v>
      </c>
      <c r="B196" t="s">
        <v>9</v>
      </c>
      <c r="C196">
        <v>1089.26</v>
      </c>
      <c r="D196">
        <v>2</v>
      </c>
      <c r="E196">
        <v>401192.35</v>
      </c>
      <c r="F196">
        <v>157829.85</v>
      </c>
      <c r="G196">
        <v>1278300.8600000001</v>
      </c>
      <c r="H196">
        <v>1.949E-3</v>
      </c>
    </row>
    <row r="197" spans="1:8" x14ac:dyDescent="0.35">
      <c r="A197" s="1">
        <v>45853</v>
      </c>
      <c r="B197" t="s">
        <v>11</v>
      </c>
      <c r="C197">
        <v>894.42</v>
      </c>
      <c r="D197">
        <v>2</v>
      </c>
      <c r="E197">
        <v>332947.93</v>
      </c>
      <c r="F197">
        <v>237994.52</v>
      </c>
      <c r="G197">
        <v>1060820.6299999999</v>
      </c>
      <c r="H197">
        <v>1.567E-3</v>
      </c>
    </row>
    <row r="198" spans="1:8" x14ac:dyDescent="0.35">
      <c r="A198" s="1">
        <v>45854</v>
      </c>
      <c r="B198" t="s">
        <v>10</v>
      </c>
      <c r="C198">
        <v>1137.45</v>
      </c>
      <c r="D198">
        <v>2</v>
      </c>
      <c r="E198">
        <v>511885.83</v>
      </c>
      <c r="F198">
        <v>110947.69</v>
      </c>
      <c r="G198">
        <v>923596.69</v>
      </c>
      <c r="H198">
        <v>1.8259999999999999E-3</v>
      </c>
    </row>
    <row r="199" spans="1:8" x14ac:dyDescent="0.35">
      <c r="A199" s="1">
        <v>45855</v>
      </c>
      <c r="B199" t="s">
        <v>8</v>
      </c>
      <c r="C199">
        <v>1251.97</v>
      </c>
      <c r="D199">
        <v>2</v>
      </c>
      <c r="E199">
        <v>564658.56000000006</v>
      </c>
      <c r="F199">
        <v>235486.81</v>
      </c>
      <c r="G199">
        <v>1048603.0900000001</v>
      </c>
      <c r="H199">
        <v>1.565E-3</v>
      </c>
    </row>
    <row r="200" spans="1:8" x14ac:dyDescent="0.35">
      <c r="A200" s="1">
        <v>45856</v>
      </c>
      <c r="B200" t="s">
        <v>11</v>
      </c>
      <c r="C200">
        <v>806.43</v>
      </c>
      <c r="D200">
        <v>2</v>
      </c>
      <c r="E200">
        <v>383634.91</v>
      </c>
      <c r="F200">
        <v>231692.13</v>
      </c>
      <c r="G200">
        <v>865545.68</v>
      </c>
      <c r="H200">
        <v>1.3110000000000001E-3</v>
      </c>
    </row>
    <row r="201" spans="1:8" x14ac:dyDescent="0.35">
      <c r="A201" s="1">
        <v>45857</v>
      </c>
      <c r="B201" t="s">
        <v>8</v>
      </c>
      <c r="C201">
        <v>1487.1</v>
      </c>
      <c r="D201">
        <v>4</v>
      </c>
      <c r="E201">
        <v>728149.37</v>
      </c>
      <c r="F201">
        <v>233429.01</v>
      </c>
      <c r="G201">
        <v>1592102.26</v>
      </c>
      <c r="H201">
        <v>1.547E-3</v>
      </c>
    </row>
    <row r="202" spans="1:8" x14ac:dyDescent="0.35">
      <c r="A202" s="1">
        <v>45858</v>
      </c>
      <c r="B202" t="s">
        <v>8</v>
      </c>
      <c r="C202">
        <v>1295.81</v>
      </c>
      <c r="D202">
        <v>2</v>
      </c>
      <c r="E202">
        <v>581399.67000000004</v>
      </c>
      <c r="F202">
        <v>239912.06</v>
      </c>
      <c r="G202">
        <v>1061637.07</v>
      </c>
      <c r="H202">
        <v>1.578E-3</v>
      </c>
    </row>
    <row r="203" spans="1:8" x14ac:dyDescent="0.35">
      <c r="A203" s="1">
        <v>45859</v>
      </c>
      <c r="B203" t="s">
        <v>8</v>
      </c>
      <c r="C203">
        <v>1028.55</v>
      </c>
      <c r="D203">
        <v>5</v>
      </c>
      <c r="E203">
        <v>495531.72</v>
      </c>
      <c r="F203">
        <v>210621.05</v>
      </c>
      <c r="G203">
        <v>957387.3</v>
      </c>
      <c r="H203">
        <v>1.457E-3</v>
      </c>
    </row>
    <row r="204" spans="1:8" x14ac:dyDescent="0.35">
      <c r="A204" s="1">
        <v>45860</v>
      </c>
      <c r="B204" t="s">
        <v>8</v>
      </c>
      <c r="C204">
        <v>1357.04</v>
      </c>
      <c r="D204">
        <v>4</v>
      </c>
      <c r="E204">
        <v>585797.17000000004</v>
      </c>
      <c r="F204">
        <v>130863.8</v>
      </c>
      <c r="G204">
        <v>1261820.54</v>
      </c>
      <c r="H204">
        <v>1.8940000000000001E-3</v>
      </c>
    </row>
    <row r="205" spans="1:8" x14ac:dyDescent="0.35">
      <c r="A205" s="1">
        <v>45861</v>
      </c>
      <c r="B205" t="s">
        <v>10</v>
      </c>
      <c r="C205">
        <v>1085.49</v>
      </c>
      <c r="D205">
        <v>2</v>
      </c>
      <c r="E205">
        <v>443188.93</v>
      </c>
      <c r="F205">
        <v>157304.04</v>
      </c>
      <c r="G205">
        <v>971534.99</v>
      </c>
      <c r="H205">
        <v>1.8079999999999999E-3</v>
      </c>
    </row>
    <row r="206" spans="1:8" x14ac:dyDescent="0.35">
      <c r="A206" s="1">
        <v>45862</v>
      </c>
      <c r="B206" t="s">
        <v>10</v>
      </c>
      <c r="C206">
        <v>806.03</v>
      </c>
      <c r="D206">
        <v>0</v>
      </c>
      <c r="E206">
        <v>355069.36</v>
      </c>
      <c r="F206">
        <v>150231.92000000001</v>
      </c>
      <c r="G206">
        <v>844553.24</v>
      </c>
      <c r="H206">
        <v>1.5950000000000001E-3</v>
      </c>
    </row>
    <row r="207" spans="1:8" x14ac:dyDescent="0.35">
      <c r="A207" s="1">
        <v>45863</v>
      </c>
      <c r="B207" t="s">
        <v>11</v>
      </c>
      <c r="C207">
        <v>809.85</v>
      </c>
      <c r="D207">
        <v>3</v>
      </c>
      <c r="E207">
        <v>341658.96</v>
      </c>
      <c r="F207">
        <v>113846.31</v>
      </c>
      <c r="G207">
        <v>758427.48</v>
      </c>
      <c r="H207">
        <v>1.7780000000000001E-3</v>
      </c>
    </row>
    <row r="208" spans="1:8" x14ac:dyDescent="0.35">
      <c r="A208" s="1">
        <v>45864</v>
      </c>
      <c r="B208" t="s">
        <v>11</v>
      </c>
      <c r="C208">
        <v>691.56</v>
      </c>
      <c r="D208">
        <v>4</v>
      </c>
      <c r="E208">
        <v>316541.67</v>
      </c>
      <c r="F208">
        <v>273328.55</v>
      </c>
      <c r="G208">
        <v>558294.9</v>
      </c>
      <c r="H208">
        <v>1.1720000000000001E-3</v>
      </c>
    </row>
    <row r="209" spans="1:8" x14ac:dyDescent="0.35">
      <c r="A209" s="1">
        <v>45865</v>
      </c>
      <c r="B209" t="s">
        <v>11</v>
      </c>
      <c r="C209">
        <v>653.19000000000005</v>
      </c>
      <c r="D209">
        <v>1</v>
      </c>
      <c r="E209">
        <v>292055.19</v>
      </c>
      <c r="F209">
        <v>204704.58</v>
      </c>
      <c r="G209">
        <v>586168.25</v>
      </c>
      <c r="H209">
        <v>1.315E-3</v>
      </c>
    </row>
    <row r="210" spans="1:8" x14ac:dyDescent="0.35">
      <c r="A210" s="1">
        <v>45866</v>
      </c>
      <c r="B210" t="s">
        <v>10</v>
      </c>
      <c r="C210">
        <v>971.67</v>
      </c>
      <c r="D210">
        <v>0</v>
      </c>
      <c r="E210">
        <v>410898.65</v>
      </c>
      <c r="F210">
        <v>88516.49</v>
      </c>
      <c r="G210">
        <v>888052.87</v>
      </c>
      <c r="H210">
        <v>1.946E-3</v>
      </c>
    </row>
    <row r="211" spans="1:8" x14ac:dyDescent="0.35">
      <c r="A211" s="1">
        <v>45867</v>
      </c>
      <c r="B211" t="s">
        <v>11</v>
      </c>
      <c r="C211">
        <v>982.96</v>
      </c>
      <c r="D211">
        <v>2</v>
      </c>
      <c r="E211">
        <v>389936.85</v>
      </c>
      <c r="F211">
        <v>181550.07</v>
      </c>
      <c r="G211">
        <v>1067948.06</v>
      </c>
      <c r="H211">
        <v>1.72E-3</v>
      </c>
    </row>
    <row r="212" spans="1:8" x14ac:dyDescent="0.35">
      <c r="A212" s="1">
        <v>45868</v>
      </c>
      <c r="B212" t="s">
        <v>8</v>
      </c>
      <c r="C212">
        <v>1109.5</v>
      </c>
      <c r="D212">
        <v>0</v>
      </c>
      <c r="E212">
        <v>418473.33</v>
      </c>
      <c r="F212">
        <v>152167.67999999999</v>
      </c>
      <c r="G212">
        <v>968123.62</v>
      </c>
      <c r="H212">
        <v>1.944E-3</v>
      </c>
    </row>
    <row r="213" spans="1:8" x14ac:dyDescent="0.35">
      <c r="A213" s="1">
        <v>45869</v>
      </c>
      <c r="B213" t="s">
        <v>10</v>
      </c>
      <c r="C213">
        <v>761.98</v>
      </c>
      <c r="D213">
        <v>2</v>
      </c>
      <c r="E213">
        <v>331534.32</v>
      </c>
      <c r="F213">
        <v>128484.42</v>
      </c>
      <c r="G213">
        <v>903074.33</v>
      </c>
      <c r="H213">
        <v>1.6559999999999999E-3</v>
      </c>
    </row>
    <row r="214" spans="1:8" x14ac:dyDescent="0.35">
      <c r="A214" s="1">
        <v>45870</v>
      </c>
      <c r="B214" t="s">
        <v>11</v>
      </c>
      <c r="C214">
        <v>1109.6099999999999</v>
      </c>
      <c r="D214">
        <v>1</v>
      </c>
      <c r="E214">
        <v>493747.15</v>
      </c>
      <c r="F214">
        <v>212710.5</v>
      </c>
      <c r="G214">
        <v>1154712.0900000001</v>
      </c>
      <c r="H214">
        <v>1.5709999999999999E-3</v>
      </c>
    </row>
    <row r="215" spans="1:8" x14ac:dyDescent="0.35">
      <c r="A215" s="1">
        <v>45871</v>
      </c>
      <c r="B215" t="s">
        <v>8</v>
      </c>
      <c r="C215">
        <v>1188.73</v>
      </c>
      <c r="D215">
        <v>3</v>
      </c>
      <c r="E215">
        <v>524998.5</v>
      </c>
      <c r="F215">
        <v>171654.27</v>
      </c>
      <c r="G215">
        <v>1350329.48</v>
      </c>
      <c r="H215">
        <v>1.7060000000000001E-3</v>
      </c>
    </row>
    <row r="216" spans="1:8" x14ac:dyDescent="0.35">
      <c r="A216" s="1">
        <v>45872</v>
      </c>
      <c r="B216" t="s">
        <v>11</v>
      </c>
      <c r="C216">
        <v>858.7</v>
      </c>
      <c r="D216">
        <v>2</v>
      </c>
      <c r="E216">
        <v>406502.56</v>
      </c>
      <c r="F216">
        <v>153560.74</v>
      </c>
      <c r="G216">
        <v>916251.66</v>
      </c>
      <c r="H216">
        <v>1.5330000000000001E-3</v>
      </c>
    </row>
    <row r="217" spans="1:8" x14ac:dyDescent="0.35">
      <c r="A217" s="1">
        <v>45873</v>
      </c>
      <c r="B217" t="s">
        <v>9</v>
      </c>
      <c r="C217">
        <v>1212.71</v>
      </c>
      <c r="D217">
        <v>0</v>
      </c>
      <c r="E217">
        <v>537930.97</v>
      </c>
      <c r="F217">
        <v>117765.15</v>
      </c>
      <c r="G217">
        <v>1254718.6499999999</v>
      </c>
      <c r="H217">
        <v>1.8489999999999999E-3</v>
      </c>
    </row>
    <row r="218" spans="1:8" x14ac:dyDescent="0.35">
      <c r="A218" s="1">
        <v>45874</v>
      </c>
      <c r="B218" t="s">
        <v>11</v>
      </c>
      <c r="C218">
        <v>978.65</v>
      </c>
      <c r="D218">
        <v>2</v>
      </c>
      <c r="E218">
        <v>345999.15</v>
      </c>
      <c r="F218">
        <v>186295.73</v>
      </c>
      <c r="G218">
        <v>1020577.63</v>
      </c>
      <c r="H218">
        <v>1.8389999999999999E-3</v>
      </c>
    </row>
    <row r="219" spans="1:8" x14ac:dyDescent="0.35">
      <c r="A219" s="1">
        <v>45875</v>
      </c>
      <c r="B219" t="s">
        <v>9</v>
      </c>
      <c r="C219">
        <v>989.76</v>
      </c>
      <c r="D219">
        <v>1</v>
      </c>
      <c r="E219">
        <v>404452.87</v>
      </c>
      <c r="F219">
        <v>159171.45000000001</v>
      </c>
      <c r="G219">
        <v>988483.42</v>
      </c>
      <c r="H219">
        <v>1.756E-3</v>
      </c>
    </row>
    <row r="220" spans="1:8" x14ac:dyDescent="0.35">
      <c r="A220" s="1">
        <v>45876</v>
      </c>
      <c r="B220" t="s">
        <v>11</v>
      </c>
      <c r="C220">
        <v>779.45</v>
      </c>
      <c r="D220">
        <v>4</v>
      </c>
      <c r="E220">
        <v>284979.31</v>
      </c>
      <c r="F220">
        <v>238650.82</v>
      </c>
      <c r="G220">
        <v>803888.25</v>
      </c>
      <c r="H220">
        <v>1.4890000000000001E-3</v>
      </c>
    </row>
    <row r="221" spans="1:8" x14ac:dyDescent="0.35">
      <c r="A221" s="1">
        <v>45877</v>
      </c>
      <c r="B221" t="s">
        <v>11</v>
      </c>
      <c r="C221">
        <v>1145.8699999999999</v>
      </c>
      <c r="D221">
        <v>1</v>
      </c>
      <c r="E221">
        <v>415776.58</v>
      </c>
      <c r="F221">
        <v>204128.63</v>
      </c>
      <c r="G221">
        <v>1004635.83</v>
      </c>
      <c r="H221">
        <v>1.848E-3</v>
      </c>
    </row>
    <row r="222" spans="1:8" x14ac:dyDescent="0.35">
      <c r="A222" s="1">
        <v>45878</v>
      </c>
      <c r="B222" t="s">
        <v>10</v>
      </c>
      <c r="C222">
        <v>834.88</v>
      </c>
      <c r="D222">
        <v>1</v>
      </c>
      <c r="E222">
        <v>357212.23</v>
      </c>
      <c r="F222">
        <v>80141.88</v>
      </c>
      <c r="G222">
        <v>935188.14</v>
      </c>
      <c r="H222">
        <v>1.9090000000000001E-3</v>
      </c>
    </row>
    <row r="223" spans="1:8" x14ac:dyDescent="0.35">
      <c r="A223" s="1">
        <v>45879</v>
      </c>
      <c r="B223" t="s">
        <v>10</v>
      </c>
      <c r="C223">
        <v>893.31</v>
      </c>
      <c r="D223">
        <v>1</v>
      </c>
      <c r="E223">
        <v>430583.71</v>
      </c>
      <c r="F223">
        <v>167631.60999999999</v>
      </c>
      <c r="G223">
        <v>905081.75</v>
      </c>
      <c r="H223">
        <v>1.493E-3</v>
      </c>
    </row>
    <row r="224" spans="1:8" x14ac:dyDescent="0.35">
      <c r="A224" s="1">
        <v>45880</v>
      </c>
      <c r="B224" t="s">
        <v>9</v>
      </c>
      <c r="C224">
        <v>924.11</v>
      </c>
      <c r="D224">
        <v>5</v>
      </c>
      <c r="E224">
        <v>331775.05</v>
      </c>
      <c r="F224">
        <v>234344.52</v>
      </c>
      <c r="G224">
        <v>1093267.8600000001</v>
      </c>
      <c r="H224">
        <v>1.632E-3</v>
      </c>
    </row>
    <row r="225" spans="1:8" x14ac:dyDescent="0.35">
      <c r="A225" s="1">
        <v>45881</v>
      </c>
      <c r="B225" t="s">
        <v>10</v>
      </c>
      <c r="C225">
        <v>814.98</v>
      </c>
      <c r="D225">
        <v>1</v>
      </c>
      <c r="E225">
        <v>309806.46000000002</v>
      </c>
      <c r="F225">
        <v>150374.15</v>
      </c>
      <c r="G225">
        <v>683499.57</v>
      </c>
      <c r="H225">
        <v>1.771E-3</v>
      </c>
    </row>
    <row r="226" spans="1:8" x14ac:dyDescent="0.35">
      <c r="A226" s="1">
        <v>45882</v>
      </c>
      <c r="B226" t="s">
        <v>8</v>
      </c>
      <c r="C226">
        <v>1437.52</v>
      </c>
      <c r="D226">
        <v>4</v>
      </c>
      <c r="E226">
        <v>589235.59</v>
      </c>
      <c r="F226">
        <v>152862.39999999999</v>
      </c>
      <c r="G226">
        <v>1720701.66</v>
      </c>
      <c r="H226">
        <v>1.9369999999999999E-3</v>
      </c>
    </row>
    <row r="227" spans="1:8" x14ac:dyDescent="0.35">
      <c r="A227" s="1">
        <v>45883</v>
      </c>
      <c r="B227" t="s">
        <v>8</v>
      </c>
      <c r="C227">
        <v>1153.98</v>
      </c>
      <c r="D227">
        <v>5</v>
      </c>
      <c r="E227">
        <v>534629.41</v>
      </c>
      <c r="F227">
        <v>169157.02</v>
      </c>
      <c r="G227">
        <v>1304493.53</v>
      </c>
      <c r="H227">
        <v>1.64E-3</v>
      </c>
    </row>
    <row r="228" spans="1:8" x14ac:dyDescent="0.35">
      <c r="A228" s="1">
        <v>45884</v>
      </c>
      <c r="B228" t="s">
        <v>9</v>
      </c>
      <c r="C228">
        <v>1206.22</v>
      </c>
      <c r="D228">
        <v>0</v>
      </c>
      <c r="E228">
        <v>477021.46</v>
      </c>
      <c r="F228">
        <v>89466.89</v>
      </c>
      <c r="G228">
        <v>1138734</v>
      </c>
      <c r="H228">
        <v>2.1289999999999998E-3</v>
      </c>
    </row>
    <row r="229" spans="1:8" x14ac:dyDescent="0.35">
      <c r="A229" s="1">
        <v>45885</v>
      </c>
      <c r="B229" t="s">
        <v>8</v>
      </c>
      <c r="C229">
        <v>1343.51</v>
      </c>
      <c r="D229">
        <v>0</v>
      </c>
      <c r="E229">
        <v>659048.05000000005</v>
      </c>
      <c r="F229">
        <v>133070.34</v>
      </c>
      <c r="G229">
        <v>1238993.7</v>
      </c>
      <c r="H229">
        <v>1.696E-3</v>
      </c>
    </row>
    <row r="230" spans="1:8" x14ac:dyDescent="0.35">
      <c r="A230" s="1">
        <v>45886</v>
      </c>
      <c r="B230" t="s">
        <v>8</v>
      </c>
      <c r="C230">
        <v>1034.5</v>
      </c>
      <c r="D230">
        <v>5</v>
      </c>
      <c r="E230">
        <v>394428.72</v>
      </c>
      <c r="F230">
        <v>289589.28000000003</v>
      </c>
      <c r="G230">
        <v>875748.19</v>
      </c>
      <c r="H230">
        <v>1.5120000000000001E-3</v>
      </c>
    </row>
    <row r="231" spans="1:8" x14ac:dyDescent="0.35">
      <c r="A231" s="1">
        <v>45887</v>
      </c>
      <c r="B231" t="s">
        <v>11</v>
      </c>
      <c r="C231">
        <v>577.07000000000005</v>
      </c>
      <c r="D231">
        <v>6</v>
      </c>
      <c r="E231">
        <v>208977.61</v>
      </c>
      <c r="F231">
        <v>230447.03</v>
      </c>
      <c r="G231">
        <v>501707.2</v>
      </c>
      <c r="H231">
        <v>1.3129999999999999E-3</v>
      </c>
    </row>
    <row r="232" spans="1:8" x14ac:dyDescent="0.35">
      <c r="A232" s="1">
        <v>45888</v>
      </c>
      <c r="B232" t="s">
        <v>10</v>
      </c>
      <c r="C232">
        <v>844.51</v>
      </c>
      <c r="D232">
        <v>3</v>
      </c>
      <c r="E232">
        <v>404777.21</v>
      </c>
      <c r="F232">
        <v>248413.58</v>
      </c>
      <c r="G232">
        <v>840143.06</v>
      </c>
      <c r="H232">
        <v>1.2930000000000001E-3</v>
      </c>
    </row>
    <row r="233" spans="1:8" x14ac:dyDescent="0.35">
      <c r="A233" s="1">
        <v>45889</v>
      </c>
      <c r="B233" t="s">
        <v>8</v>
      </c>
      <c r="C233">
        <v>1396.96</v>
      </c>
      <c r="D233">
        <v>2</v>
      </c>
      <c r="E233">
        <v>594245.81999999995</v>
      </c>
      <c r="F233">
        <v>149799.45000000001</v>
      </c>
      <c r="G233">
        <v>1199359.68</v>
      </c>
      <c r="H233">
        <v>1.8779999999999999E-3</v>
      </c>
    </row>
    <row r="234" spans="1:8" x14ac:dyDescent="0.35">
      <c r="A234" s="1">
        <v>45890</v>
      </c>
      <c r="B234" t="s">
        <v>8</v>
      </c>
      <c r="C234">
        <v>1108.57</v>
      </c>
      <c r="D234">
        <v>0</v>
      </c>
      <c r="E234">
        <v>410476.87</v>
      </c>
      <c r="F234">
        <v>194467.27</v>
      </c>
      <c r="G234">
        <v>1130536.02</v>
      </c>
      <c r="H234">
        <v>1.833E-3</v>
      </c>
    </row>
    <row r="235" spans="1:8" x14ac:dyDescent="0.35">
      <c r="A235" s="1">
        <v>45891</v>
      </c>
      <c r="B235" t="s">
        <v>10</v>
      </c>
      <c r="C235">
        <v>971.95</v>
      </c>
      <c r="D235">
        <v>2</v>
      </c>
      <c r="E235">
        <v>413976.02</v>
      </c>
      <c r="F235">
        <v>155926.75</v>
      </c>
      <c r="G235">
        <v>818643.94</v>
      </c>
      <c r="H235">
        <v>1.7049999999999999E-3</v>
      </c>
    </row>
    <row r="236" spans="1:8" x14ac:dyDescent="0.35">
      <c r="A236" s="1">
        <v>45892</v>
      </c>
      <c r="B236" t="s">
        <v>8</v>
      </c>
      <c r="C236">
        <v>1018.55</v>
      </c>
      <c r="D236">
        <v>2</v>
      </c>
      <c r="E236">
        <v>365864.14</v>
      </c>
      <c r="F236">
        <v>207114.23999999999</v>
      </c>
      <c r="G236">
        <v>1002167.74</v>
      </c>
      <c r="H236">
        <v>1.7780000000000001E-3</v>
      </c>
    </row>
    <row r="237" spans="1:8" x14ac:dyDescent="0.35">
      <c r="A237" s="1">
        <v>45893</v>
      </c>
      <c r="B237" t="s">
        <v>8</v>
      </c>
      <c r="C237">
        <v>1289.99</v>
      </c>
      <c r="D237">
        <v>0</v>
      </c>
      <c r="E237">
        <v>644001.30000000005</v>
      </c>
      <c r="F237">
        <v>58667.08</v>
      </c>
      <c r="G237">
        <v>1390626.65</v>
      </c>
      <c r="H237">
        <v>1.836E-3</v>
      </c>
    </row>
    <row r="238" spans="1:8" x14ac:dyDescent="0.35">
      <c r="A238" s="1">
        <v>45894</v>
      </c>
      <c r="B238" t="s">
        <v>10</v>
      </c>
      <c r="C238">
        <v>907.99</v>
      </c>
      <c r="D238">
        <v>1</v>
      </c>
      <c r="E238">
        <v>387178.86</v>
      </c>
      <c r="F238">
        <v>219504.53</v>
      </c>
      <c r="G238">
        <v>1022022.3</v>
      </c>
      <c r="H238">
        <v>1.4970000000000001E-3</v>
      </c>
    </row>
    <row r="239" spans="1:8" x14ac:dyDescent="0.35">
      <c r="A239" s="1">
        <v>45895</v>
      </c>
      <c r="B239" t="s">
        <v>11</v>
      </c>
      <c r="C239">
        <v>854.63</v>
      </c>
      <c r="D239">
        <v>2</v>
      </c>
      <c r="E239">
        <v>366684.12</v>
      </c>
      <c r="F239">
        <v>153912.51</v>
      </c>
      <c r="G239">
        <v>728387.22</v>
      </c>
      <c r="H239">
        <v>1.642E-3</v>
      </c>
    </row>
    <row r="240" spans="1:8" x14ac:dyDescent="0.35">
      <c r="A240" s="1">
        <v>45896</v>
      </c>
      <c r="B240" t="s">
        <v>8</v>
      </c>
      <c r="C240">
        <v>1180.72</v>
      </c>
      <c r="D240">
        <v>1</v>
      </c>
      <c r="E240">
        <v>486599.29</v>
      </c>
      <c r="F240">
        <v>194130.68</v>
      </c>
      <c r="G240">
        <v>1291057.51</v>
      </c>
      <c r="H240">
        <v>1.7340000000000001E-3</v>
      </c>
    </row>
    <row r="241" spans="1:8" x14ac:dyDescent="0.35">
      <c r="A241" s="1">
        <v>45897</v>
      </c>
      <c r="B241" t="s">
        <v>10</v>
      </c>
      <c r="C241">
        <v>1148.4100000000001</v>
      </c>
      <c r="D241">
        <v>1</v>
      </c>
      <c r="E241">
        <v>473628.92</v>
      </c>
      <c r="F241">
        <v>142201.62</v>
      </c>
      <c r="G241">
        <v>927540.54</v>
      </c>
      <c r="H241">
        <v>1.8649999999999999E-3</v>
      </c>
    </row>
    <row r="242" spans="1:8" x14ac:dyDescent="0.35">
      <c r="A242" s="1">
        <v>45898</v>
      </c>
      <c r="B242" t="s">
        <v>8</v>
      </c>
      <c r="C242">
        <v>1329.47</v>
      </c>
      <c r="D242">
        <v>1</v>
      </c>
      <c r="E242">
        <v>508228.27</v>
      </c>
      <c r="F242">
        <v>71818.12</v>
      </c>
      <c r="G242">
        <v>1191839.5900000001</v>
      </c>
      <c r="H242">
        <v>2.2920000000000002E-3</v>
      </c>
    </row>
    <row r="243" spans="1:8" x14ac:dyDescent="0.35">
      <c r="A243" s="1">
        <v>45899</v>
      </c>
      <c r="B243" t="s">
        <v>8</v>
      </c>
      <c r="C243">
        <v>1080.53</v>
      </c>
      <c r="D243">
        <v>4</v>
      </c>
      <c r="E243">
        <v>467000.22</v>
      </c>
      <c r="F243">
        <v>198156.6</v>
      </c>
      <c r="G243">
        <v>1229369.78</v>
      </c>
      <c r="H243">
        <v>1.624E-3</v>
      </c>
    </row>
    <row r="244" spans="1:8" x14ac:dyDescent="0.35">
      <c r="A244" s="1">
        <v>45900</v>
      </c>
      <c r="B244" t="s">
        <v>11</v>
      </c>
      <c r="C244">
        <v>895.9</v>
      </c>
      <c r="D244">
        <v>1</v>
      </c>
      <c r="E244">
        <v>412656.72</v>
      </c>
      <c r="F244">
        <v>141402.72</v>
      </c>
      <c r="G244">
        <v>851427.43</v>
      </c>
      <c r="H244">
        <v>1.6169999999999999E-3</v>
      </c>
    </row>
    <row r="245" spans="1:8" x14ac:dyDescent="0.35">
      <c r="A245" s="1">
        <v>45901</v>
      </c>
      <c r="B245" t="s">
        <v>9</v>
      </c>
      <c r="C245">
        <v>960.01</v>
      </c>
      <c r="D245">
        <v>3</v>
      </c>
      <c r="E245">
        <v>473573.03</v>
      </c>
      <c r="F245">
        <v>228035.51</v>
      </c>
      <c r="G245">
        <v>889125.33</v>
      </c>
      <c r="H245">
        <v>1.3680000000000001E-3</v>
      </c>
    </row>
    <row r="246" spans="1:8" x14ac:dyDescent="0.35">
      <c r="A246" s="1">
        <v>45902</v>
      </c>
      <c r="B246" t="s">
        <v>9</v>
      </c>
      <c r="C246">
        <v>1009.16</v>
      </c>
      <c r="D246">
        <v>2</v>
      </c>
      <c r="E246">
        <v>489708.19</v>
      </c>
      <c r="F246">
        <v>159221.62</v>
      </c>
      <c r="G246">
        <v>1064540.8400000001</v>
      </c>
      <c r="H246">
        <v>1.555E-3</v>
      </c>
    </row>
    <row r="247" spans="1:8" x14ac:dyDescent="0.35">
      <c r="A247" s="1">
        <v>45903</v>
      </c>
      <c r="B247" t="s">
        <v>10</v>
      </c>
      <c r="C247">
        <v>1273.9000000000001</v>
      </c>
      <c r="D247">
        <v>4</v>
      </c>
      <c r="E247">
        <v>544925.62</v>
      </c>
      <c r="F247">
        <v>152525.35</v>
      </c>
      <c r="G247">
        <v>1394888.35</v>
      </c>
      <c r="H247">
        <v>1.8270000000000001E-3</v>
      </c>
    </row>
    <row r="248" spans="1:8" x14ac:dyDescent="0.35">
      <c r="A248" s="1">
        <v>45904</v>
      </c>
      <c r="B248" t="s">
        <v>9</v>
      </c>
      <c r="C248">
        <v>1402.01</v>
      </c>
      <c r="D248">
        <v>0</v>
      </c>
      <c r="E248">
        <v>508534.69</v>
      </c>
      <c r="F248">
        <v>157448.51</v>
      </c>
      <c r="G248">
        <v>1162031.6000000001</v>
      </c>
      <c r="H248">
        <v>2.1050000000000001E-3</v>
      </c>
    </row>
    <row r="249" spans="1:8" x14ac:dyDescent="0.35">
      <c r="A249" s="1">
        <v>45905</v>
      </c>
      <c r="B249" t="s">
        <v>10</v>
      </c>
      <c r="C249">
        <v>1020.48</v>
      </c>
      <c r="D249">
        <v>0</v>
      </c>
      <c r="E249">
        <v>359021.57</v>
      </c>
      <c r="F249">
        <v>193475.21</v>
      </c>
      <c r="G249">
        <v>1117429.3400000001</v>
      </c>
      <c r="H249">
        <v>1.8469999999999999E-3</v>
      </c>
    </row>
    <row r="250" spans="1:8" x14ac:dyDescent="0.35">
      <c r="A250" s="1">
        <v>45906</v>
      </c>
      <c r="B250" t="s">
        <v>9</v>
      </c>
      <c r="C250">
        <v>897.93</v>
      </c>
      <c r="D250">
        <v>3</v>
      </c>
      <c r="E250">
        <v>337726.6</v>
      </c>
      <c r="F250">
        <v>124759.35</v>
      </c>
      <c r="G250">
        <v>955507.37</v>
      </c>
      <c r="H250">
        <v>1.9419999999999999E-3</v>
      </c>
    </row>
    <row r="251" spans="1:8" x14ac:dyDescent="0.35">
      <c r="A251" s="1">
        <v>45907</v>
      </c>
      <c r="B251" t="s">
        <v>11</v>
      </c>
      <c r="C251">
        <v>754.26</v>
      </c>
      <c r="D251">
        <v>2</v>
      </c>
      <c r="E251">
        <v>273287.06</v>
      </c>
      <c r="F251">
        <v>235179.01</v>
      </c>
      <c r="G251">
        <v>692542.94</v>
      </c>
      <c r="H251">
        <v>1.4829999999999999E-3</v>
      </c>
    </row>
    <row r="252" spans="1:8" x14ac:dyDescent="0.35">
      <c r="A252" s="1">
        <v>45908</v>
      </c>
      <c r="B252" t="s">
        <v>10</v>
      </c>
      <c r="C252">
        <v>1091.07</v>
      </c>
      <c r="D252">
        <v>1</v>
      </c>
      <c r="E252">
        <v>401740.54</v>
      </c>
      <c r="F252">
        <v>162251.95000000001</v>
      </c>
      <c r="G252">
        <v>1210927.5</v>
      </c>
      <c r="H252">
        <v>1.9350000000000001E-3</v>
      </c>
    </row>
    <row r="253" spans="1:8" x14ac:dyDescent="0.35">
      <c r="A253" s="1">
        <v>45909</v>
      </c>
      <c r="B253" t="s">
        <v>9</v>
      </c>
      <c r="C253">
        <v>1296.67</v>
      </c>
      <c r="D253">
        <v>2</v>
      </c>
      <c r="E253">
        <v>642207.94999999995</v>
      </c>
      <c r="F253">
        <v>209807.13</v>
      </c>
      <c r="G253">
        <v>1189216.94</v>
      </c>
      <c r="H253">
        <v>1.5219999999999999E-3</v>
      </c>
    </row>
    <row r="254" spans="1:8" x14ac:dyDescent="0.35">
      <c r="A254" s="1">
        <v>45910</v>
      </c>
      <c r="B254" t="s">
        <v>11</v>
      </c>
      <c r="C254">
        <v>908.55</v>
      </c>
      <c r="D254">
        <v>4</v>
      </c>
      <c r="E254">
        <v>364093.23</v>
      </c>
      <c r="F254">
        <v>269212.55</v>
      </c>
      <c r="G254">
        <v>808471.56</v>
      </c>
      <c r="H254">
        <v>1.4350000000000001E-3</v>
      </c>
    </row>
    <row r="255" spans="1:8" x14ac:dyDescent="0.35">
      <c r="A255" s="1">
        <v>45911</v>
      </c>
      <c r="B255" t="s">
        <v>9</v>
      </c>
      <c r="C255">
        <v>1140.29</v>
      </c>
      <c r="D255">
        <v>2</v>
      </c>
      <c r="E255">
        <v>503940.32</v>
      </c>
      <c r="F255">
        <v>231461.38</v>
      </c>
      <c r="G255">
        <v>1022014.76</v>
      </c>
      <c r="H255">
        <v>1.5510000000000001E-3</v>
      </c>
    </row>
    <row r="256" spans="1:8" x14ac:dyDescent="0.35">
      <c r="A256" s="1">
        <v>45912</v>
      </c>
      <c r="B256" t="s">
        <v>8</v>
      </c>
      <c r="C256">
        <v>1166.81</v>
      </c>
      <c r="D256">
        <v>3</v>
      </c>
      <c r="E256">
        <v>559142.71</v>
      </c>
      <c r="F256">
        <v>236977.15</v>
      </c>
      <c r="G256">
        <v>1362335.35</v>
      </c>
      <c r="H256">
        <v>1.4660000000000001E-3</v>
      </c>
    </row>
    <row r="257" spans="1:8" x14ac:dyDescent="0.35">
      <c r="A257" s="1">
        <v>45913</v>
      </c>
      <c r="B257" t="s">
        <v>8</v>
      </c>
      <c r="C257">
        <v>1158.48</v>
      </c>
      <c r="D257">
        <v>2</v>
      </c>
      <c r="E257">
        <v>551782.81999999995</v>
      </c>
      <c r="F257">
        <v>199273.60000000001</v>
      </c>
      <c r="G257">
        <v>1286581.32</v>
      </c>
      <c r="H257">
        <v>1.542E-3</v>
      </c>
    </row>
    <row r="258" spans="1:8" x14ac:dyDescent="0.35">
      <c r="A258" s="1">
        <v>45914</v>
      </c>
      <c r="B258" t="s">
        <v>11</v>
      </c>
      <c r="C258">
        <v>744.18</v>
      </c>
      <c r="D258">
        <v>3</v>
      </c>
      <c r="E258">
        <v>278860.68</v>
      </c>
      <c r="F258">
        <v>129759.32</v>
      </c>
      <c r="G258">
        <v>811447.59</v>
      </c>
      <c r="H258">
        <v>1.8209999999999999E-3</v>
      </c>
    </row>
    <row r="259" spans="1:8" x14ac:dyDescent="0.35">
      <c r="A259" s="1">
        <v>45915</v>
      </c>
      <c r="B259" t="s">
        <v>8</v>
      </c>
      <c r="C259">
        <v>1275.44</v>
      </c>
      <c r="D259">
        <v>2</v>
      </c>
      <c r="E259">
        <v>607241.59</v>
      </c>
      <c r="F259">
        <v>199920.23</v>
      </c>
      <c r="G259">
        <v>1296983.3899999999</v>
      </c>
      <c r="H259">
        <v>1.58E-3</v>
      </c>
    </row>
    <row r="260" spans="1:8" x14ac:dyDescent="0.35">
      <c r="A260" s="1">
        <v>45916</v>
      </c>
      <c r="B260" t="s">
        <v>8</v>
      </c>
      <c r="C260">
        <v>1236.1099999999999</v>
      </c>
      <c r="D260">
        <v>2</v>
      </c>
      <c r="E260">
        <v>594568.41</v>
      </c>
      <c r="F260">
        <v>185443.7</v>
      </c>
      <c r="G260">
        <v>1365223.27</v>
      </c>
      <c r="H260">
        <v>1.585E-3</v>
      </c>
    </row>
    <row r="261" spans="1:8" x14ac:dyDescent="0.35">
      <c r="A261" s="1">
        <v>45917</v>
      </c>
      <c r="B261" t="s">
        <v>10</v>
      </c>
      <c r="C261">
        <v>1390.25</v>
      </c>
      <c r="D261">
        <v>1</v>
      </c>
      <c r="E261">
        <v>488534.36</v>
      </c>
      <c r="F261">
        <v>107001.83</v>
      </c>
      <c r="G261">
        <v>1516188.05</v>
      </c>
      <c r="H261">
        <v>2.3340000000000001E-3</v>
      </c>
    </row>
    <row r="262" spans="1:8" x14ac:dyDescent="0.35">
      <c r="A262" s="1">
        <v>45918</v>
      </c>
      <c r="B262" t="s">
        <v>9</v>
      </c>
      <c r="C262">
        <v>1293.2</v>
      </c>
      <c r="D262">
        <v>1</v>
      </c>
      <c r="E262">
        <v>594819.96</v>
      </c>
      <c r="F262">
        <v>162397.82</v>
      </c>
      <c r="G262">
        <v>1131819.1299999999</v>
      </c>
      <c r="H262">
        <v>1.7080000000000001E-3</v>
      </c>
    </row>
    <row r="263" spans="1:8" x14ac:dyDescent="0.35">
      <c r="A263" s="1">
        <v>45919</v>
      </c>
      <c r="B263" t="s">
        <v>10</v>
      </c>
      <c r="C263">
        <v>936.58</v>
      </c>
      <c r="D263">
        <v>3</v>
      </c>
      <c r="E263">
        <v>434711.48</v>
      </c>
      <c r="F263">
        <v>115296.7</v>
      </c>
      <c r="G263">
        <v>1028637.77</v>
      </c>
      <c r="H263">
        <v>1.7030000000000001E-3</v>
      </c>
    </row>
    <row r="264" spans="1:8" x14ac:dyDescent="0.35">
      <c r="A264" s="1">
        <v>45920</v>
      </c>
      <c r="B264" t="s">
        <v>9</v>
      </c>
      <c r="C264">
        <v>882.52</v>
      </c>
      <c r="D264">
        <v>1</v>
      </c>
      <c r="E264">
        <v>424932</v>
      </c>
      <c r="F264">
        <v>219450.15</v>
      </c>
      <c r="G264">
        <v>836033.65</v>
      </c>
      <c r="H264">
        <v>1.3699999999999999E-3</v>
      </c>
    </row>
    <row r="265" spans="1:8" x14ac:dyDescent="0.35">
      <c r="A265" s="1">
        <v>45921</v>
      </c>
      <c r="B265" t="s">
        <v>8</v>
      </c>
      <c r="C265">
        <v>1034.05</v>
      </c>
      <c r="D265">
        <v>4</v>
      </c>
      <c r="E265">
        <v>425919.8</v>
      </c>
      <c r="F265">
        <v>234342.72</v>
      </c>
      <c r="G265">
        <v>828574.16</v>
      </c>
      <c r="H265">
        <v>1.5659999999999999E-3</v>
      </c>
    </row>
    <row r="266" spans="1:8" x14ac:dyDescent="0.35">
      <c r="A266" s="1">
        <v>45922</v>
      </c>
      <c r="B266" t="s">
        <v>10</v>
      </c>
      <c r="C266">
        <v>771.15</v>
      </c>
      <c r="D266">
        <v>1</v>
      </c>
      <c r="E266">
        <v>337942.01</v>
      </c>
      <c r="F266">
        <v>142145.93</v>
      </c>
      <c r="G266">
        <v>815053.37</v>
      </c>
      <c r="H266">
        <v>1.606E-3</v>
      </c>
    </row>
    <row r="267" spans="1:8" x14ac:dyDescent="0.35">
      <c r="A267" s="1">
        <v>45923</v>
      </c>
      <c r="B267" t="s">
        <v>9</v>
      </c>
      <c r="C267">
        <v>1289.3900000000001</v>
      </c>
      <c r="D267">
        <v>0</v>
      </c>
      <c r="E267">
        <v>563459.25</v>
      </c>
      <c r="F267">
        <v>134222.69</v>
      </c>
      <c r="G267">
        <v>1320673.3700000001</v>
      </c>
      <c r="H267">
        <v>1.848E-3</v>
      </c>
    </row>
    <row r="268" spans="1:8" x14ac:dyDescent="0.35">
      <c r="A268" s="1">
        <v>45924</v>
      </c>
      <c r="B268" t="s">
        <v>9</v>
      </c>
      <c r="C268">
        <v>1344.64</v>
      </c>
      <c r="D268">
        <v>3</v>
      </c>
      <c r="E268">
        <v>486166.12</v>
      </c>
      <c r="F268">
        <v>118782.64</v>
      </c>
      <c r="G268">
        <v>1255483.5</v>
      </c>
      <c r="H268">
        <v>2.2230000000000001E-3</v>
      </c>
    </row>
    <row r="269" spans="1:8" x14ac:dyDescent="0.35">
      <c r="A269" s="1">
        <v>45925</v>
      </c>
      <c r="B269" t="s">
        <v>10</v>
      </c>
      <c r="C269">
        <v>1143.47</v>
      </c>
      <c r="D269">
        <v>4</v>
      </c>
      <c r="E269">
        <v>425504.16</v>
      </c>
      <c r="F269">
        <v>179228.91</v>
      </c>
      <c r="G269">
        <v>1113287.4099999999</v>
      </c>
      <c r="H269">
        <v>1.8910000000000001E-3</v>
      </c>
    </row>
    <row r="270" spans="1:8" x14ac:dyDescent="0.35">
      <c r="A270" s="1">
        <v>45926</v>
      </c>
      <c r="B270" t="s">
        <v>11</v>
      </c>
      <c r="C270">
        <v>887.6</v>
      </c>
      <c r="D270">
        <v>5</v>
      </c>
      <c r="E270">
        <v>395359.72</v>
      </c>
      <c r="F270">
        <v>267847.74</v>
      </c>
      <c r="G270">
        <v>752092.3</v>
      </c>
      <c r="H270">
        <v>1.338E-3</v>
      </c>
    </row>
    <row r="271" spans="1:8" x14ac:dyDescent="0.35">
      <c r="A271" s="1">
        <v>45927</v>
      </c>
      <c r="B271" t="s">
        <v>9</v>
      </c>
      <c r="C271">
        <v>1081.74</v>
      </c>
      <c r="D271">
        <v>2</v>
      </c>
      <c r="E271">
        <v>471400.64</v>
      </c>
      <c r="F271">
        <v>178165.4</v>
      </c>
      <c r="G271">
        <v>945212.28</v>
      </c>
      <c r="H271">
        <v>1.665E-3</v>
      </c>
    </row>
    <row r="272" spans="1:8" x14ac:dyDescent="0.35">
      <c r="A272" s="1">
        <v>45928</v>
      </c>
      <c r="B272" t="s">
        <v>8</v>
      </c>
      <c r="C272">
        <v>988.38</v>
      </c>
      <c r="D272">
        <v>0</v>
      </c>
      <c r="E272">
        <v>349518.3</v>
      </c>
      <c r="F272">
        <v>174754.56</v>
      </c>
      <c r="G272">
        <v>898659.75</v>
      </c>
      <c r="H272">
        <v>1.885E-3</v>
      </c>
    </row>
    <row r="273" spans="1:8" x14ac:dyDescent="0.35">
      <c r="A273" s="1">
        <v>45929</v>
      </c>
      <c r="B273" t="s">
        <v>9</v>
      </c>
      <c r="C273">
        <v>923.83</v>
      </c>
      <c r="D273">
        <v>3</v>
      </c>
      <c r="E273">
        <v>382879.74</v>
      </c>
      <c r="F273">
        <v>240909.54</v>
      </c>
      <c r="G273">
        <v>1050184.74</v>
      </c>
      <c r="H273">
        <v>1.4809999999999999E-3</v>
      </c>
    </row>
    <row r="274" spans="1:8" x14ac:dyDescent="0.35">
      <c r="A274" s="1">
        <v>45930</v>
      </c>
      <c r="B274" t="s">
        <v>8</v>
      </c>
      <c r="C274">
        <v>1277.04</v>
      </c>
      <c r="D274">
        <v>2</v>
      </c>
      <c r="E274">
        <v>462403.71</v>
      </c>
      <c r="F274">
        <v>199190.9</v>
      </c>
      <c r="G274">
        <v>1275232.32</v>
      </c>
      <c r="H274">
        <v>1.9300000000000001E-3</v>
      </c>
    </row>
    <row r="275" spans="1:8" x14ac:dyDescent="0.35">
      <c r="A275" s="1">
        <v>45931</v>
      </c>
      <c r="B275" t="s">
        <v>10</v>
      </c>
      <c r="C275">
        <v>920.09</v>
      </c>
      <c r="D275">
        <v>3</v>
      </c>
      <c r="E275">
        <v>406252.96</v>
      </c>
      <c r="F275">
        <v>130303.11</v>
      </c>
      <c r="G275">
        <v>1012610.45</v>
      </c>
      <c r="H275">
        <v>1.7149999999999999E-3</v>
      </c>
    </row>
    <row r="276" spans="1:8" x14ac:dyDescent="0.35">
      <c r="A276" s="1">
        <v>45932</v>
      </c>
      <c r="B276" t="s">
        <v>9</v>
      </c>
      <c r="C276">
        <v>1153.02</v>
      </c>
      <c r="D276">
        <v>0</v>
      </c>
      <c r="E276">
        <v>413425.66</v>
      </c>
      <c r="F276">
        <v>92328.06</v>
      </c>
      <c r="G276">
        <v>1043118.96</v>
      </c>
      <c r="H276">
        <v>2.2799999999999999E-3</v>
      </c>
    </row>
    <row r="277" spans="1:8" x14ac:dyDescent="0.35">
      <c r="A277" s="1">
        <v>45933</v>
      </c>
      <c r="B277" t="s">
        <v>8</v>
      </c>
      <c r="C277">
        <v>1218.23</v>
      </c>
      <c r="D277">
        <v>2</v>
      </c>
      <c r="E277">
        <v>476073.44</v>
      </c>
      <c r="F277">
        <v>203909.74</v>
      </c>
      <c r="G277">
        <v>1193734.46</v>
      </c>
      <c r="H277">
        <v>1.792E-3</v>
      </c>
    </row>
    <row r="278" spans="1:8" x14ac:dyDescent="0.35">
      <c r="A278" s="1">
        <v>45934</v>
      </c>
      <c r="B278" t="s">
        <v>8</v>
      </c>
      <c r="C278">
        <v>1121.0899999999999</v>
      </c>
      <c r="D278">
        <v>0</v>
      </c>
      <c r="E278">
        <v>544810.37</v>
      </c>
      <c r="F278">
        <v>70886.81</v>
      </c>
      <c r="G278">
        <v>1135626.8700000001</v>
      </c>
      <c r="H278">
        <v>1.8209999999999999E-3</v>
      </c>
    </row>
    <row r="279" spans="1:8" x14ac:dyDescent="0.35">
      <c r="A279" s="1">
        <v>45935</v>
      </c>
      <c r="B279" t="s">
        <v>10</v>
      </c>
      <c r="C279">
        <v>997.9</v>
      </c>
      <c r="D279">
        <v>2</v>
      </c>
      <c r="E279">
        <v>352530.6</v>
      </c>
      <c r="F279">
        <v>189568.45</v>
      </c>
      <c r="G279">
        <v>1182865.05</v>
      </c>
      <c r="H279">
        <v>1.841E-3</v>
      </c>
    </row>
    <row r="280" spans="1:8" x14ac:dyDescent="0.35">
      <c r="A280" s="1">
        <v>45936</v>
      </c>
      <c r="B280" t="s">
        <v>9</v>
      </c>
      <c r="C280">
        <v>1205.3599999999999</v>
      </c>
      <c r="D280">
        <v>0</v>
      </c>
      <c r="E280">
        <v>497595.91</v>
      </c>
      <c r="F280">
        <v>89023.67</v>
      </c>
      <c r="G280">
        <v>1316650.02</v>
      </c>
      <c r="H280">
        <v>2.055E-3</v>
      </c>
    </row>
    <row r="281" spans="1:8" x14ac:dyDescent="0.35">
      <c r="A281" s="1">
        <v>45937</v>
      </c>
      <c r="B281" t="s">
        <v>9</v>
      </c>
      <c r="C281">
        <v>1114.51</v>
      </c>
      <c r="D281">
        <v>3</v>
      </c>
      <c r="E281">
        <v>484589.51</v>
      </c>
      <c r="F281">
        <v>179589.87</v>
      </c>
      <c r="G281">
        <v>1324934.82</v>
      </c>
      <c r="H281">
        <v>1.678E-3</v>
      </c>
    </row>
    <row r="282" spans="1:8" x14ac:dyDescent="0.35">
      <c r="A282" s="1">
        <v>45938</v>
      </c>
      <c r="B282" t="s">
        <v>10</v>
      </c>
      <c r="C282">
        <v>757.73</v>
      </c>
      <c r="D282">
        <v>0</v>
      </c>
      <c r="E282">
        <v>282396.21999999997</v>
      </c>
      <c r="F282">
        <v>83797.539999999994</v>
      </c>
      <c r="G282">
        <v>682250.19</v>
      </c>
      <c r="H282">
        <v>2.0690000000000001E-3</v>
      </c>
    </row>
    <row r="283" spans="1:8" x14ac:dyDescent="0.35">
      <c r="A283" s="1">
        <v>45939</v>
      </c>
      <c r="B283" t="s">
        <v>9</v>
      </c>
      <c r="C283">
        <v>1274.71</v>
      </c>
      <c r="D283">
        <v>3</v>
      </c>
      <c r="E283">
        <v>610613.23</v>
      </c>
      <c r="F283">
        <v>218422.15</v>
      </c>
      <c r="G283">
        <v>1054271.76</v>
      </c>
      <c r="H283">
        <v>1.5380000000000001E-3</v>
      </c>
    </row>
    <row r="284" spans="1:8" x14ac:dyDescent="0.35">
      <c r="A284" s="1">
        <v>45940</v>
      </c>
      <c r="B284" t="s">
        <v>10</v>
      </c>
      <c r="C284">
        <v>1056.92</v>
      </c>
      <c r="D284">
        <v>0</v>
      </c>
      <c r="E284">
        <v>442581.03</v>
      </c>
      <c r="F284">
        <v>122704.44</v>
      </c>
      <c r="G284">
        <v>915622.17</v>
      </c>
      <c r="H284">
        <v>1.8699999999999999E-3</v>
      </c>
    </row>
    <row r="285" spans="1:8" x14ac:dyDescent="0.35">
      <c r="A285" s="1">
        <v>45941</v>
      </c>
      <c r="B285" t="s">
        <v>9</v>
      </c>
      <c r="C285">
        <v>1371.73</v>
      </c>
      <c r="D285">
        <v>4</v>
      </c>
      <c r="E285">
        <v>614047.56000000006</v>
      </c>
      <c r="F285">
        <v>211814.78</v>
      </c>
      <c r="G285">
        <v>1131549.23</v>
      </c>
      <c r="H285">
        <v>1.6609999999999999E-3</v>
      </c>
    </row>
    <row r="286" spans="1:8" x14ac:dyDescent="0.35">
      <c r="A286" s="1">
        <v>45942</v>
      </c>
      <c r="B286" t="s">
        <v>11</v>
      </c>
      <c r="C286">
        <v>1109.58</v>
      </c>
      <c r="D286">
        <v>1</v>
      </c>
      <c r="E286">
        <v>519220.64</v>
      </c>
      <c r="F286">
        <v>100204.57</v>
      </c>
      <c r="G286">
        <v>1002451.78</v>
      </c>
      <c r="H286">
        <v>1.7910000000000001E-3</v>
      </c>
    </row>
    <row r="287" spans="1:8" x14ac:dyDescent="0.35">
      <c r="A287" s="1">
        <v>45943</v>
      </c>
      <c r="B287" t="s">
        <v>9</v>
      </c>
      <c r="C287">
        <v>1108.55</v>
      </c>
      <c r="D287">
        <v>1</v>
      </c>
      <c r="E287">
        <v>513827.95</v>
      </c>
      <c r="F287">
        <v>147907.88</v>
      </c>
      <c r="G287">
        <v>977690.19</v>
      </c>
      <c r="H287">
        <v>1.6750000000000001E-3</v>
      </c>
    </row>
    <row r="288" spans="1:8" x14ac:dyDescent="0.35">
      <c r="A288" s="1">
        <v>45944</v>
      </c>
      <c r="B288" t="s">
        <v>8</v>
      </c>
      <c r="C288">
        <v>1145.93</v>
      </c>
      <c r="D288">
        <v>3</v>
      </c>
      <c r="E288">
        <v>412283.12</v>
      </c>
      <c r="F288">
        <v>179589.71</v>
      </c>
      <c r="G288">
        <v>1333503.9099999999</v>
      </c>
      <c r="H288">
        <v>1.936E-3</v>
      </c>
    </row>
    <row r="289" spans="1:8" x14ac:dyDescent="0.35">
      <c r="A289" s="1">
        <v>45945</v>
      </c>
      <c r="B289" t="s">
        <v>8</v>
      </c>
      <c r="C289">
        <v>1276.71</v>
      </c>
      <c r="D289">
        <v>2</v>
      </c>
      <c r="E289">
        <v>572627.19999999995</v>
      </c>
      <c r="F289">
        <v>213315.47</v>
      </c>
      <c r="G289">
        <v>1215644.6299999999</v>
      </c>
      <c r="H289">
        <v>1.624E-3</v>
      </c>
    </row>
    <row r="290" spans="1:8" x14ac:dyDescent="0.35">
      <c r="A290" s="1">
        <v>45946</v>
      </c>
      <c r="B290" t="s">
        <v>11</v>
      </c>
      <c r="C290">
        <v>916.99</v>
      </c>
      <c r="D290">
        <v>2</v>
      </c>
      <c r="E290">
        <v>408232.61</v>
      </c>
      <c r="F290">
        <v>209687.12</v>
      </c>
      <c r="G290">
        <v>878832.92</v>
      </c>
      <c r="H290">
        <v>1.4840000000000001E-3</v>
      </c>
    </row>
    <row r="291" spans="1:8" x14ac:dyDescent="0.35">
      <c r="A291" s="1">
        <v>45947</v>
      </c>
      <c r="B291" t="s">
        <v>9</v>
      </c>
      <c r="C291">
        <v>884.26</v>
      </c>
      <c r="D291">
        <v>2</v>
      </c>
      <c r="E291">
        <v>401793.59</v>
      </c>
      <c r="F291">
        <v>208989.2</v>
      </c>
      <c r="G291">
        <v>819446.3</v>
      </c>
      <c r="H291">
        <v>1.4480000000000001E-3</v>
      </c>
    </row>
    <row r="292" spans="1:8" x14ac:dyDescent="0.35">
      <c r="A292" s="1">
        <v>45948</v>
      </c>
      <c r="B292" t="s">
        <v>8</v>
      </c>
      <c r="C292">
        <v>1149.78</v>
      </c>
      <c r="D292">
        <v>2</v>
      </c>
      <c r="E292">
        <v>428657.35</v>
      </c>
      <c r="F292">
        <v>156048.51</v>
      </c>
      <c r="G292">
        <v>1202810.82</v>
      </c>
      <c r="H292">
        <v>1.9659999999999999E-3</v>
      </c>
    </row>
    <row r="293" spans="1:8" x14ac:dyDescent="0.35">
      <c r="A293" s="1">
        <v>45949</v>
      </c>
      <c r="B293" t="s">
        <v>8</v>
      </c>
      <c r="C293">
        <v>1139.45</v>
      </c>
      <c r="D293">
        <v>0</v>
      </c>
      <c r="E293">
        <v>549629.22</v>
      </c>
      <c r="F293">
        <v>170540.53</v>
      </c>
      <c r="G293">
        <v>1141825.8799999999</v>
      </c>
      <c r="H293">
        <v>1.5820000000000001E-3</v>
      </c>
    </row>
    <row r="294" spans="1:8" x14ac:dyDescent="0.35">
      <c r="A294" s="1">
        <v>45950</v>
      </c>
      <c r="B294" t="s">
        <v>9</v>
      </c>
      <c r="C294">
        <v>1088.05</v>
      </c>
      <c r="D294">
        <v>3</v>
      </c>
      <c r="E294">
        <v>524756.55000000005</v>
      </c>
      <c r="F294">
        <v>174123.45</v>
      </c>
      <c r="G294">
        <v>941050.5</v>
      </c>
      <c r="H294">
        <v>1.557E-3</v>
      </c>
    </row>
    <row r="295" spans="1:8" x14ac:dyDescent="0.35">
      <c r="A295" s="1">
        <v>45951</v>
      </c>
      <c r="B295" t="s">
        <v>10</v>
      </c>
      <c r="C295">
        <v>1067.8599999999999</v>
      </c>
      <c r="D295">
        <v>0</v>
      </c>
      <c r="E295">
        <v>463410.27</v>
      </c>
      <c r="F295">
        <v>129109.94</v>
      </c>
      <c r="G295">
        <v>1161550.98</v>
      </c>
      <c r="H295">
        <v>1.802E-3</v>
      </c>
    </row>
    <row r="296" spans="1:8" x14ac:dyDescent="0.35">
      <c r="A296" s="1">
        <v>45952</v>
      </c>
      <c r="B296" t="s">
        <v>9</v>
      </c>
      <c r="C296">
        <v>979.19</v>
      </c>
      <c r="D296">
        <v>4</v>
      </c>
      <c r="E296">
        <v>411922.71</v>
      </c>
      <c r="F296">
        <v>253245.53</v>
      </c>
      <c r="G296">
        <v>963239.31</v>
      </c>
      <c r="H296">
        <v>1.472E-3</v>
      </c>
    </row>
    <row r="297" spans="1:8" x14ac:dyDescent="0.35">
      <c r="A297" s="1">
        <v>45953</v>
      </c>
      <c r="B297" t="s">
        <v>10</v>
      </c>
      <c r="C297">
        <v>1089.47</v>
      </c>
      <c r="D297">
        <v>3</v>
      </c>
      <c r="E297">
        <v>409709.33</v>
      </c>
      <c r="F297">
        <v>216802.1</v>
      </c>
      <c r="G297">
        <v>1231523.27</v>
      </c>
      <c r="H297">
        <v>1.7390000000000001E-3</v>
      </c>
    </row>
    <row r="298" spans="1:8" x14ac:dyDescent="0.35">
      <c r="A298" s="1">
        <v>45954</v>
      </c>
      <c r="B298" t="s">
        <v>11</v>
      </c>
      <c r="C298">
        <v>864.16</v>
      </c>
      <c r="D298">
        <v>1</v>
      </c>
      <c r="E298">
        <v>360832.37</v>
      </c>
      <c r="F298">
        <v>182323.95</v>
      </c>
      <c r="G298">
        <v>916406.48</v>
      </c>
      <c r="H298">
        <v>1.591E-3</v>
      </c>
    </row>
    <row r="299" spans="1:8" x14ac:dyDescent="0.35">
      <c r="A299" s="1">
        <v>45955</v>
      </c>
      <c r="B299" t="s">
        <v>11</v>
      </c>
      <c r="C299">
        <v>844.98</v>
      </c>
      <c r="D299">
        <v>3</v>
      </c>
      <c r="E299">
        <v>419839.79</v>
      </c>
      <c r="F299">
        <v>205121.32</v>
      </c>
      <c r="G299">
        <v>718657.36</v>
      </c>
      <c r="H299">
        <v>1.3519999999999999E-3</v>
      </c>
    </row>
    <row r="300" spans="1:8" x14ac:dyDescent="0.35">
      <c r="A300" s="1">
        <v>45956</v>
      </c>
      <c r="B300" t="s">
        <v>8</v>
      </c>
      <c r="C300">
        <v>1023.14</v>
      </c>
      <c r="D300">
        <v>1</v>
      </c>
      <c r="E300">
        <v>384939.75</v>
      </c>
      <c r="F300">
        <v>198360.59</v>
      </c>
      <c r="G300">
        <v>911490.19</v>
      </c>
      <c r="H300">
        <v>1.7539999999999999E-3</v>
      </c>
    </row>
    <row r="301" spans="1:8" x14ac:dyDescent="0.35">
      <c r="A301" s="1">
        <v>45957</v>
      </c>
      <c r="B301" t="s">
        <v>8</v>
      </c>
      <c r="C301">
        <v>1378.15</v>
      </c>
      <c r="D301">
        <v>3</v>
      </c>
      <c r="E301">
        <v>588330.59</v>
      </c>
      <c r="F301">
        <v>155796.6</v>
      </c>
      <c r="G301">
        <v>1219744.03</v>
      </c>
      <c r="H301">
        <v>1.8519999999999999E-3</v>
      </c>
    </row>
    <row r="302" spans="1:8" x14ac:dyDescent="0.35">
      <c r="A302" s="1">
        <v>45958</v>
      </c>
      <c r="B302" t="s">
        <v>8</v>
      </c>
      <c r="C302">
        <v>1277.0899999999999</v>
      </c>
      <c r="D302">
        <v>4</v>
      </c>
      <c r="E302">
        <v>620765.1</v>
      </c>
      <c r="F302">
        <v>230609.85</v>
      </c>
      <c r="G302">
        <v>1307961.3400000001</v>
      </c>
      <c r="H302">
        <v>1.5E-3</v>
      </c>
    </row>
    <row r="303" spans="1:8" x14ac:dyDescent="0.35">
      <c r="A303" s="1">
        <v>45959</v>
      </c>
      <c r="B303" t="s">
        <v>10</v>
      </c>
      <c r="C303">
        <v>1026.94</v>
      </c>
      <c r="D303">
        <v>0</v>
      </c>
      <c r="E303">
        <v>428292.74</v>
      </c>
      <c r="F303">
        <v>119053.74</v>
      </c>
      <c r="G303">
        <v>1176690.8500000001</v>
      </c>
      <c r="H303">
        <v>1.8760000000000001E-3</v>
      </c>
    </row>
    <row r="304" spans="1:8" x14ac:dyDescent="0.35">
      <c r="A304" s="1">
        <v>45960</v>
      </c>
      <c r="B304" t="s">
        <v>8</v>
      </c>
      <c r="C304">
        <v>874.1</v>
      </c>
      <c r="D304">
        <v>1</v>
      </c>
      <c r="E304">
        <v>361337.26</v>
      </c>
      <c r="F304">
        <v>76303.7</v>
      </c>
      <c r="G304">
        <v>957979.6</v>
      </c>
      <c r="H304">
        <v>1.9970000000000001E-3</v>
      </c>
    </row>
    <row r="305" spans="1:8" x14ac:dyDescent="0.35">
      <c r="A305" s="1">
        <v>45961</v>
      </c>
      <c r="B305" t="s">
        <v>9</v>
      </c>
      <c r="C305">
        <v>1227.1099999999999</v>
      </c>
      <c r="D305">
        <v>3</v>
      </c>
      <c r="E305">
        <v>597132.36</v>
      </c>
      <c r="F305">
        <v>223094.29</v>
      </c>
      <c r="G305">
        <v>1376775.31</v>
      </c>
      <c r="H305">
        <v>1.4959999999999999E-3</v>
      </c>
    </row>
    <row r="306" spans="1:8" x14ac:dyDescent="0.35">
      <c r="A306" s="1">
        <v>45962</v>
      </c>
      <c r="B306" t="s">
        <v>10</v>
      </c>
      <c r="C306">
        <v>859.68</v>
      </c>
      <c r="D306">
        <v>3</v>
      </c>
      <c r="E306">
        <v>391631.63</v>
      </c>
      <c r="F306">
        <v>191104.77</v>
      </c>
      <c r="G306">
        <v>720943.02</v>
      </c>
      <c r="H306">
        <v>1.475E-3</v>
      </c>
    </row>
    <row r="307" spans="1:8" x14ac:dyDescent="0.35">
      <c r="A307" s="1">
        <v>45963</v>
      </c>
      <c r="B307" t="s">
        <v>11</v>
      </c>
      <c r="C307">
        <v>1062.9000000000001</v>
      </c>
      <c r="D307">
        <v>1</v>
      </c>
      <c r="E307">
        <v>446751.89</v>
      </c>
      <c r="F307">
        <v>115189.79</v>
      </c>
      <c r="G307">
        <v>1104714.8799999999</v>
      </c>
      <c r="H307">
        <v>1.8910000000000001E-3</v>
      </c>
    </row>
    <row r="308" spans="1:8" x14ac:dyDescent="0.35">
      <c r="A308" s="1">
        <v>45964</v>
      </c>
      <c r="B308" t="s">
        <v>10</v>
      </c>
      <c r="C308">
        <v>841.95</v>
      </c>
      <c r="D308">
        <v>1</v>
      </c>
      <c r="E308">
        <v>408710.22</v>
      </c>
      <c r="F308">
        <v>197839.58</v>
      </c>
      <c r="G308">
        <v>898460.74</v>
      </c>
      <c r="H308">
        <v>1.3879999999999999E-3</v>
      </c>
    </row>
    <row r="309" spans="1:8" x14ac:dyDescent="0.35">
      <c r="A309" s="1">
        <v>45965</v>
      </c>
      <c r="B309" t="s">
        <v>8</v>
      </c>
      <c r="C309">
        <v>1039.83</v>
      </c>
      <c r="D309">
        <v>2</v>
      </c>
      <c r="E309">
        <v>376257.52</v>
      </c>
      <c r="F309">
        <v>125926.53</v>
      </c>
      <c r="G309">
        <v>1162354.04</v>
      </c>
      <c r="H309">
        <v>2.0709999999999999E-3</v>
      </c>
    </row>
    <row r="310" spans="1:8" x14ac:dyDescent="0.35">
      <c r="A310" s="1">
        <v>45966</v>
      </c>
      <c r="B310" t="s">
        <v>9</v>
      </c>
      <c r="C310">
        <v>1112.47</v>
      </c>
      <c r="D310">
        <v>3</v>
      </c>
      <c r="E310">
        <v>528095.43999999994</v>
      </c>
      <c r="F310">
        <v>199846.78</v>
      </c>
      <c r="G310">
        <v>941118.43</v>
      </c>
      <c r="H310">
        <v>1.5280000000000001E-3</v>
      </c>
    </row>
    <row r="311" spans="1:8" x14ac:dyDescent="0.35">
      <c r="A311" s="1">
        <v>45967</v>
      </c>
      <c r="B311" t="s">
        <v>9</v>
      </c>
      <c r="C311">
        <v>1029.93</v>
      </c>
      <c r="D311">
        <v>0</v>
      </c>
      <c r="E311">
        <v>501005.48</v>
      </c>
      <c r="F311">
        <v>150380.04</v>
      </c>
      <c r="G311">
        <v>1165592.02</v>
      </c>
      <c r="H311">
        <v>1.5809999999999999E-3</v>
      </c>
    </row>
    <row r="312" spans="1:8" x14ac:dyDescent="0.35">
      <c r="A312" s="1">
        <v>45968</v>
      </c>
      <c r="B312" t="s">
        <v>8</v>
      </c>
      <c r="C312">
        <v>1228.44</v>
      </c>
      <c r="D312">
        <v>2</v>
      </c>
      <c r="E312">
        <v>510034.11</v>
      </c>
      <c r="F312">
        <v>206081.95</v>
      </c>
      <c r="G312">
        <v>1278519.8600000001</v>
      </c>
      <c r="H312">
        <v>1.7149999999999999E-3</v>
      </c>
    </row>
    <row r="313" spans="1:8" x14ac:dyDescent="0.35">
      <c r="A313" s="1">
        <v>45969</v>
      </c>
      <c r="B313" t="s">
        <v>9</v>
      </c>
      <c r="C313">
        <v>1250.1600000000001</v>
      </c>
      <c r="D313">
        <v>4</v>
      </c>
      <c r="E313">
        <v>569315.29</v>
      </c>
      <c r="F313">
        <v>165615.01999999999</v>
      </c>
      <c r="G313">
        <v>1256339.58</v>
      </c>
      <c r="H313">
        <v>1.701E-3</v>
      </c>
    </row>
    <row r="314" spans="1:8" x14ac:dyDescent="0.35">
      <c r="A314" s="1">
        <v>45970</v>
      </c>
      <c r="B314" t="s">
        <v>10</v>
      </c>
      <c r="C314">
        <v>963.09</v>
      </c>
      <c r="D314">
        <v>4</v>
      </c>
      <c r="E314">
        <v>410218.73</v>
      </c>
      <c r="F314">
        <v>225115.6</v>
      </c>
      <c r="G314">
        <v>797798.16</v>
      </c>
      <c r="H314">
        <v>1.516E-3</v>
      </c>
    </row>
    <row r="315" spans="1:8" x14ac:dyDescent="0.35">
      <c r="A315" s="1">
        <v>45971</v>
      </c>
      <c r="B315" t="s">
        <v>10</v>
      </c>
      <c r="C315">
        <v>873.51</v>
      </c>
      <c r="D315">
        <v>1</v>
      </c>
      <c r="E315">
        <v>367638.92</v>
      </c>
      <c r="F315">
        <v>76847.31</v>
      </c>
      <c r="G315">
        <v>747735.56</v>
      </c>
      <c r="H315">
        <v>1.9650000000000002E-3</v>
      </c>
    </row>
    <row r="316" spans="1:8" x14ac:dyDescent="0.35">
      <c r="A316" s="1">
        <v>45972</v>
      </c>
      <c r="B316" t="s">
        <v>8</v>
      </c>
      <c r="C316">
        <v>1166.97</v>
      </c>
      <c r="D316">
        <v>1</v>
      </c>
      <c r="E316">
        <v>457572.15</v>
      </c>
      <c r="F316">
        <v>101048.89</v>
      </c>
      <c r="G316">
        <v>1174706.72</v>
      </c>
      <c r="H316">
        <v>2.0890000000000001E-3</v>
      </c>
    </row>
    <row r="317" spans="1:8" x14ac:dyDescent="0.35">
      <c r="A317" s="1">
        <v>45973</v>
      </c>
      <c r="B317" t="s">
        <v>9</v>
      </c>
      <c r="C317">
        <v>789.82</v>
      </c>
      <c r="D317">
        <v>0</v>
      </c>
      <c r="E317">
        <v>277345.61</v>
      </c>
      <c r="F317">
        <v>82860.320000000007</v>
      </c>
      <c r="G317">
        <v>643458.77</v>
      </c>
      <c r="H317">
        <v>2.1930000000000001E-3</v>
      </c>
    </row>
    <row r="318" spans="1:8" x14ac:dyDescent="0.35">
      <c r="A318" s="1">
        <v>45974</v>
      </c>
      <c r="B318" t="s">
        <v>11</v>
      </c>
      <c r="C318">
        <v>853.62</v>
      </c>
      <c r="D318">
        <v>3</v>
      </c>
      <c r="E318">
        <v>418070.87</v>
      </c>
      <c r="F318">
        <v>169552.26</v>
      </c>
      <c r="G318">
        <v>712632.51</v>
      </c>
      <c r="H318">
        <v>1.4530000000000001E-3</v>
      </c>
    </row>
    <row r="319" spans="1:8" x14ac:dyDescent="0.35">
      <c r="A319" s="1">
        <v>45975</v>
      </c>
      <c r="B319" t="s">
        <v>10</v>
      </c>
      <c r="C319">
        <v>887.18</v>
      </c>
      <c r="D319">
        <v>1</v>
      </c>
      <c r="E319">
        <v>356452.87</v>
      </c>
      <c r="F319">
        <v>146111.79</v>
      </c>
      <c r="G319">
        <v>1019977.12</v>
      </c>
      <c r="H319">
        <v>1.7650000000000001E-3</v>
      </c>
    </row>
    <row r="320" spans="1:8" x14ac:dyDescent="0.35">
      <c r="A320" s="1">
        <v>45976</v>
      </c>
      <c r="B320" t="s">
        <v>10</v>
      </c>
      <c r="C320">
        <v>1285.18</v>
      </c>
      <c r="D320">
        <v>1</v>
      </c>
      <c r="E320">
        <v>502774.37</v>
      </c>
      <c r="F320">
        <v>129186.41</v>
      </c>
      <c r="G320">
        <v>1244992.7</v>
      </c>
      <c r="H320">
        <v>2.0339999999999998E-3</v>
      </c>
    </row>
    <row r="321" spans="1:8" x14ac:dyDescent="0.35">
      <c r="A321" s="1">
        <v>45977</v>
      </c>
      <c r="B321" t="s">
        <v>10</v>
      </c>
      <c r="C321">
        <v>990.9</v>
      </c>
      <c r="D321">
        <v>4</v>
      </c>
      <c r="E321">
        <v>469259.5</v>
      </c>
      <c r="F321">
        <v>273259.08</v>
      </c>
      <c r="G321">
        <v>1118211.1399999999</v>
      </c>
      <c r="H321">
        <v>1.335E-3</v>
      </c>
    </row>
    <row r="322" spans="1:8" x14ac:dyDescent="0.35">
      <c r="A322" s="1">
        <v>45978</v>
      </c>
      <c r="B322" t="s">
        <v>10</v>
      </c>
      <c r="C322">
        <v>1021.73</v>
      </c>
      <c r="D322">
        <v>1</v>
      </c>
      <c r="E322">
        <v>416432.52</v>
      </c>
      <c r="F322">
        <v>138435.48000000001</v>
      </c>
      <c r="G322">
        <v>968213.16</v>
      </c>
      <c r="H322">
        <v>1.841E-3</v>
      </c>
    </row>
    <row r="323" spans="1:8" x14ac:dyDescent="0.35">
      <c r="A323" s="1">
        <v>45979</v>
      </c>
      <c r="B323" t="s">
        <v>11</v>
      </c>
      <c r="C323">
        <v>807.78</v>
      </c>
      <c r="D323">
        <v>0</v>
      </c>
      <c r="E323">
        <v>333487.33</v>
      </c>
      <c r="F323">
        <v>162676.71</v>
      </c>
      <c r="G323">
        <v>669170.80000000005</v>
      </c>
      <c r="H323">
        <v>1.6280000000000001E-3</v>
      </c>
    </row>
    <row r="324" spans="1:8" x14ac:dyDescent="0.35">
      <c r="A324" s="1">
        <v>45980</v>
      </c>
      <c r="B324" t="s">
        <v>8</v>
      </c>
      <c r="C324">
        <v>1166.27</v>
      </c>
      <c r="D324">
        <v>4</v>
      </c>
      <c r="E324">
        <v>409967.42</v>
      </c>
      <c r="F324">
        <v>225414.41</v>
      </c>
      <c r="G324">
        <v>1359073.54</v>
      </c>
      <c r="H324">
        <v>1.836E-3</v>
      </c>
    </row>
    <row r="325" spans="1:8" x14ac:dyDescent="0.35">
      <c r="A325" s="1">
        <v>45981</v>
      </c>
      <c r="B325" t="s">
        <v>10</v>
      </c>
      <c r="C325">
        <v>902.5</v>
      </c>
      <c r="D325">
        <v>3</v>
      </c>
      <c r="E325">
        <v>438044.43</v>
      </c>
      <c r="F325">
        <v>119966.58</v>
      </c>
      <c r="G325">
        <v>914761.87</v>
      </c>
      <c r="H325">
        <v>1.6169999999999999E-3</v>
      </c>
    </row>
    <row r="326" spans="1:8" x14ac:dyDescent="0.35">
      <c r="A326" s="1">
        <v>45982</v>
      </c>
      <c r="B326" t="s">
        <v>9</v>
      </c>
      <c r="C326">
        <v>845.44</v>
      </c>
      <c r="D326">
        <v>2</v>
      </c>
      <c r="E326">
        <v>311501.09000000003</v>
      </c>
      <c r="F326">
        <v>173796.36</v>
      </c>
      <c r="G326">
        <v>792398.64</v>
      </c>
      <c r="H326">
        <v>1.7420000000000001E-3</v>
      </c>
    </row>
    <row r="327" spans="1:8" x14ac:dyDescent="0.35">
      <c r="A327" s="1">
        <v>45983</v>
      </c>
      <c r="B327" t="s">
        <v>11</v>
      </c>
      <c r="C327">
        <v>803.16</v>
      </c>
      <c r="D327">
        <v>4</v>
      </c>
      <c r="E327">
        <v>362183.05</v>
      </c>
      <c r="F327">
        <v>171307.18</v>
      </c>
      <c r="G327">
        <v>740939.73</v>
      </c>
      <c r="H327">
        <v>1.505E-3</v>
      </c>
    </row>
    <row r="328" spans="1:8" x14ac:dyDescent="0.35">
      <c r="A328" s="1">
        <v>45984</v>
      </c>
      <c r="B328" t="s">
        <v>10</v>
      </c>
      <c r="C328">
        <v>960.13</v>
      </c>
      <c r="D328">
        <v>5</v>
      </c>
      <c r="E328">
        <v>419895.47</v>
      </c>
      <c r="F328">
        <v>205675.86</v>
      </c>
      <c r="G328">
        <v>998952.48</v>
      </c>
      <c r="H328">
        <v>1.5349999999999999E-3</v>
      </c>
    </row>
    <row r="329" spans="1:8" x14ac:dyDescent="0.35">
      <c r="A329" s="1">
        <v>45985</v>
      </c>
      <c r="B329" t="s">
        <v>9</v>
      </c>
      <c r="C329">
        <v>1315.01</v>
      </c>
      <c r="D329">
        <v>3</v>
      </c>
      <c r="E329">
        <v>545177.44999999995</v>
      </c>
      <c r="F329">
        <v>131389.12</v>
      </c>
      <c r="G329">
        <v>1520206.49</v>
      </c>
      <c r="H329">
        <v>1.944E-3</v>
      </c>
    </row>
    <row r="330" spans="1:8" x14ac:dyDescent="0.35">
      <c r="A330" s="1">
        <v>45986</v>
      </c>
      <c r="B330" t="s">
        <v>10</v>
      </c>
      <c r="C330">
        <v>855.34</v>
      </c>
      <c r="D330">
        <v>0</v>
      </c>
      <c r="E330">
        <v>382228.37</v>
      </c>
      <c r="F330">
        <v>145535.35</v>
      </c>
      <c r="G330">
        <v>800804.35</v>
      </c>
      <c r="H330">
        <v>1.621E-3</v>
      </c>
    </row>
    <row r="331" spans="1:8" x14ac:dyDescent="0.35">
      <c r="A331" s="1">
        <v>45987</v>
      </c>
      <c r="B331" t="s">
        <v>8</v>
      </c>
      <c r="C331">
        <v>1135.48</v>
      </c>
      <c r="D331">
        <v>0</v>
      </c>
      <c r="E331">
        <v>467185.37</v>
      </c>
      <c r="F331">
        <v>96682.62</v>
      </c>
      <c r="G331">
        <v>1215923.03</v>
      </c>
      <c r="H331">
        <v>2.0140000000000002E-3</v>
      </c>
    </row>
    <row r="332" spans="1:8" x14ac:dyDescent="0.35">
      <c r="A332" s="1">
        <v>45988</v>
      </c>
      <c r="B332" t="s">
        <v>11</v>
      </c>
      <c r="C332">
        <v>655.67</v>
      </c>
      <c r="D332">
        <v>2</v>
      </c>
      <c r="E332">
        <v>297175.02</v>
      </c>
      <c r="F332">
        <v>111082.95</v>
      </c>
      <c r="G332">
        <v>651887.13</v>
      </c>
      <c r="H332">
        <v>1.606E-3</v>
      </c>
    </row>
    <row r="333" spans="1:8" x14ac:dyDescent="0.35">
      <c r="A333" s="1">
        <v>45989</v>
      </c>
      <c r="B333" t="s">
        <v>8</v>
      </c>
      <c r="C333">
        <v>1390.87</v>
      </c>
      <c r="D333">
        <v>0</v>
      </c>
      <c r="E333">
        <v>592259.18000000005</v>
      </c>
      <c r="F333">
        <v>194602.61</v>
      </c>
      <c r="G333">
        <v>1326451.6100000001</v>
      </c>
      <c r="H333">
        <v>1.768E-3</v>
      </c>
    </row>
    <row r="334" spans="1:8" x14ac:dyDescent="0.35">
      <c r="A334" s="1">
        <v>45990</v>
      </c>
      <c r="B334" t="s">
        <v>11</v>
      </c>
      <c r="C334">
        <v>735.28</v>
      </c>
      <c r="D334">
        <v>0</v>
      </c>
      <c r="E334">
        <v>340751.47</v>
      </c>
      <c r="F334">
        <v>118778.45</v>
      </c>
      <c r="G334">
        <v>673292.69</v>
      </c>
      <c r="H334">
        <v>1.6000000000000001E-3</v>
      </c>
    </row>
    <row r="335" spans="1:8" x14ac:dyDescent="0.35">
      <c r="A335" s="1">
        <v>45991</v>
      </c>
      <c r="B335" t="s">
        <v>10</v>
      </c>
      <c r="C335">
        <v>945.73</v>
      </c>
      <c r="D335">
        <v>1</v>
      </c>
      <c r="E335">
        <v>466610.83</v>
      </c>
      <c r="F335">
        <v>117095.01</v>
      </c>
      <c r="G335">
        <v>1092658.04</v>
      </c>
      <c r="H335">
        <v>1.6199999999999999E-3</v>
      </c>
    </row>
    <row r="336" spans="1:8" x14ac:dyDescent="0.35">
      <c r="A336" s="1">
        <v>45992</v>
      </c>
      <c r="B336" t="s">
        <v>10</v>
      </c>
      <c r="C336">
        <v>1175.97</v>
      </c>
      <c r="D336">
        <v>3</v>
      </c>
      <c r="E336">
        <v>479591.53</v>
      </c>
      <c r="F336">
        <v>161058.07</v>
      </c>
      <c r="G336">
        <v>1195446.32</v>
      </c>
      <c r="H336">
        <v>1.836E-3</v>
      </c>
    </row>
    <row r="337" spans="1:8" x14ac:dyDescent="0.35">
      <c r="A337" s="1">
        <v>45993</v>
      </c>
      <c r="B337" t="s">
        <v>11</v>
      </c>
      <c r="C337">
        <v>955.45</v>
      </c>
      <c r="D337">
        <v>1</v>
      </c>
      <c r="E337">
        <v>412041.7</v>
      </c>
      <c r="F337">
        <v>184285.27</v>
      </c>
      <c r="G337">
        <v>1082960.18</v>
      </c>
      <c r="H337">
        <v>1.6019999999999999E-3</v>
      </c>
    </row>
    <row r="338" spans="1:8" x14ac:dyDescent="0.35">
      <c r="A338" s="1">
        <v>45994</v>
      </c>
      <c r="B338" t="s">
        <v>9</v>
      </c>
      <c r="C338">
        <v>829.84</v>
      </c>
      <c r="D338">
        <v>1</v>
      </c>
      <c r="E338">
        <v>297620.21999999997</v>
      </c>
      <c r="F338">
        <v>121367.2</v>
      </c>
      <c r="G338">
        <v>753578.15</v>
      </c>
      <c r="H338">
        <v>1.9810000000000001E-3</v>
      </c>
    </row>
    <row r="339" spans="1:8" x14ac:dyDescent="0.35">
      <c r="A339" s="1">
        <v>45995</v>
      </c>
      <c r="B339" t="s">
        <v>9</v>
      </c>
      <c r="C339">
        <v>1018.6</v>
      </c>
      <c r="D339">
        <v>3</v>
      </c>
      <c r="E339">
        <v>377777.47</v>
      </c>
      <c r="F339">
        <v>176606.56</v>
      </c>
      <c r="G339">
        <v>1070031.79</v>
      </c>
      <c r="H339">
        <v>1.8370000000000001E-3</v>
      </c>
    </row>
    <row r="340" spans="1:8" x14ac:dyDescent="0.35">
      <c r="A340" s="1">
        <v>45996</v>
      </c>
      <c r="B340" t="s">
        <v>10</v>
      </c>
      <c r="C340">
        <v>620.46</v>
      </c>
      <c r="D340">
        <v>5</v>
      </c>
      <c r="E340">
        <v>253934.79</v>
      </c>
      <c r="F340">
        <v>155918.93</v>
      </c>
      <c r="G340">
        <v>614387.81999999995</v>
      </c>
      <c r="H340">
        <v>1.5139999999999999E-3</v>
      </c>
    </row>
    <row r="341" spans="1:8" x14ac:dyDescent="0.35">
      <c r="A341" s="1">
        <v>45997</v>
      </c>
      <c r="B341" t="s">
        <v>10</v>
      </c>
      <c r="C341">
        <v>957.1</v>
      </c>
      <c r="D341">
        <v>1</v>
      </c>
      <c r="E341">
        <v>473385.49</v>
      </c>
      <c r="F341">
        <v>206418.19</v>
      </c>
      <c r="G341">
        <v>1042144.63</v>
      </c>
      <c r="H341">
        <v>1.408E-3</v>
      </c>
    </row>
    <row r="342" spans="1:8" x14ac:dyDescent="0.35">
      <c r="A342" s="1">
        <v>45998</v>
      </c>
      <c r="B342" t="s">
        <v>8</v>
      </c>
      <c r="C342">
        <v>1362.87</v>
      </c>
      <c r="D342">
        <v>0</v>
      </c>
      <c r="E342">
        <v>638607.85</v>
      </c>
      <c r="F342">
        <v>68723.12</v>
      </c>
      <c r="G342">
        <v>1523256.06</v>
      </c>
      <c r="H342">
        <v>1.9269999999999999E-3</v>
      </c>
    </row>
    <row r="343" spans="1:8" x14ac:dyDescent="0.35">
      <c r="A343" s="1">
        <v>45999</v>
      </c>
      <c r="B343" t="s">
        <v>10</v>
      </c>
      <c r="C343">
        <v>1014.7</v>
      </c>
      <c r="D343">
        <v>3</v>
      </c>
      <c r="E343">
        <v>425565.48</v>
      </c>
      <c r="F343">
        <v>257148.11</v>
      </c>
      <c r="G343">
        <v>1007962.9</v>
      </c>
      <c r="H343">
        <v>1.4859999999999999E-3</v>
      </c>
    </row>
    <row r="344" spans="1:8" x14ac:dyDescent="0.35">
      <c r="A344" s="1">
        <v>46000</v>
      </c>
      <c r="B344" t="s">
        <v>11</v>
      </c>
      <c r="C344">
        <v>938.29</v>
      </c>
      <c r="D344">
        <v>1</v>
      </c>
      <c r="E344">
        <v>357004.21</v>
      </c>
      <c r="F344">
        <v>184269.73</v>
      </c>
      <c r="G344">
        <v>895707.8</v>
      </c>
      <c r="H344">
        <v>1.7329999999999999E-3</v>
      </c>
    </row>
    <row r="345" spans="1:8" x14ac:dyDescent="0.35">
      <c r="A345" s="1">
        <v>46001</v>
      </c>
      <c r="B345" t="s">
        <v>9</v>
      </c>
      <c r="C345">
        <v>1256.8800000000001</v>
      </c>
      <c r="D345">
        <v>3</v>
      </c>
      <c r="E345">
        <v>624810.99</v>
      </c>
      <c r="F345">
        <v>171137.63</v>
      </c>
      <c r="G345">
        <v>1421545.89</v>
      </c>
      <c r="H345">
        <v>1.5790000000000001E-3</v>
      </c>
    </row>
    <row r="346" spans="1:8" x14ac:dyDescent="0.35">
      <c r="A346" s="1">
        <v>46002</v>
      </c>
      <c r="B346" t="s">
        <v>9</v>
      </c>
      <c r="C346">
        <v>1162.2</v>
      </c>
      <c r="D346">
        <v>2</v>
      </c>
      <c r="E346">
        <v>555643.47</v>
      </c>
      <c r="F346">
        <v>155872.47</v>
      </c>
      <c r="G346">
        <v>1323504.32</v>
      </c>
      <c r="H346">
        <v>1.6329999999999999E-3</v>
      </c>
    </row>
    <row r="347" spans="1:8" x14ac:dyDescent="0.35">
      <c r="A347" s="1">
        <v>46003</v>
      </c>
      <c r="B347" t="s">
        <v>8</v>
      </c>
      <c r="C347">
        <v>1423.79</v>
      </c>
      <c r="D347">
        <v>1</v>
      </c>
      <c r="E347">
        <v>687005.75</v>
      </c>
      <c r="F347">
        <v>137247.85999999999</v>
      </c>
      <c r="G347">
        <v>1429729.41</v>
      </c>
      <c r="H347">
        <v>1.727E-3</v>
      </c>
    </row>
    <row r="348" spans="1:8" x14ac:dyDescent="0.35">
      <c r="A348" s="1">
        <v>46004</v>
      </c>
      <c r="B348" t="s">
        <v>9</v>
      </c>
      <c r="C348">
        <v>1198.3900000000001</v>
      </c>
      <c r="D348">
        <v>0</v>
      </c>
      <c r="E348">
        <v>505151.11</v>
      </c>
      <c r="F348">
        <v>153158.31</v>
      </c>
      <c r="G348">
        <v>1305140.6000000001</v>
      </c>
      <c r="H348">
        <v>1.82E-3</v>
      </c>
    </row>
    <row r="349" spans="1:8" x14ac:dyDescent="0.35">
      <c r="A349" s="1">
        <v>46005</v>
      </c>
      <c r="B349" t="s">
        <v>9</v>
      </c>
      <c r="C349">
        <v>1129.21</v>
      </c>
      <c r="D349">
        <v>1</v>
      </c>
      <c r="E349">
        <v>445935.74</v>
      </c>
      <c r="F349">
        <v>123807.33</v>
      </c>
      <c r="G349">
        <v>1266719.8999999999</v>
      </c>
      <c r="H349">
        <v>1.9819999999999998E-3</v>
      </c>
    </row>
    <row r="350" spans="1:8" x14ac:dyDescent="0.35">
      <c r="A350" s="1">
        <v>46006</v>
      </c>
      <c r="B350" t="s">
        <v>11</v>
      </c>
      <c r="C350">
        <v>765.85</v>
      </c>
      <c r="D350">
        <v>1</v>
      </c>
      <c r="E350">
        <v>382673.42</v>
      </c>
      <c r="F350">
        <v>171523.19</v>
      </c>
      <c r="G350">
        <v>866470.47</v>
      </c>
      <c r="H350">
        <v>1.382E-3</v>
      </c>
    </row>
    <row r="351" spans="1:8" x14ac:dyDescent="0.35">
      <c r="A351" s="1">
        <v>46007</v>
      </c>
      <c r="B351" t="s">
        <v>9</v>
      </c>
      <c r="C351">
        <v>997.41</v>
      </c>
      <c r="D351">
        <v>1</v>
      </c>
      <c r="E351">
        <v>459485.46</v>
      </c>
      <c r="F351">
        <v>195121.69</v>
      </c>
      <c r="G351">
        <v>1093347.02</v>
      </c>
      <c r="H351">
        <v>1.524E-3</v>
      </c>
    </row>
    <row r="352" spans="1:8" x14ac:dyDescent="0.35">
      <c r="A352" s="1">
        <v>46008</v>
      </c>
      <c r="B352" t="s">
        <v>8</v>
      </c>
      <c r="C352">
        <v>1263.21</v>
      </c>
      <c r="D352">
        <v>5</v>
      </c>
      <c r="E352">
        <v>534518.67000000004</v>
      </c>
      <c r="F352">
        <v>161647.4</v>
      </c>
      <c r="G352">
        <v>1216490.06</v>
      </c>
      <c r="H352">
        <v>1.815E-3</v>
      </c>
    </row>
    <row r="353" spans="1:8" x14ac:dyDescent="0.35">
      <c r="A353" s="1">
        <v>46009</v>
      </c>
      <c r="B353" t="s">
        <v>8</v>
      </c>
      <c r="C353">
        <v>1110.92</v>
      </c>
      <c r="D353">
        <v>1</v>
      </c>
      <c r="E353">
        <v>446950.36</v>
      </c>
      <c r="F353">
        <v>86649.71</v>
      </c>
      <c r="G353">
        <v>1247894.33</v>
      </c>
      <c r="H353">
        <v>2.0820000000000001E-3</v>
      </c>
    </row>
    <row r="354" spans="1:8" x14ac:dyDescent="0.35">
      <c r="A354" s="1">
        <v>46010</v>
      </c>
      <c r="B354" t="s">
        <v>9</v>
      </c>
      <c r="C354">
        <v>1104.53</v>
      </c>
      <c r="D354">
        <v>1</v>
      </c>
      <c r="E354">
        <v>469528.09</v>
      </c>
      <c r="F354">
        <v>189177.33</v>
      </c>
      <c r="G354">
        <v>1196021.79</v>
      </c>
      <c r="H354">
        <v>1.6770000000000001E-3</v>
      </c>
    </row>
    <row r="355" spans="1:8" x14ac:dyDescent="0.35">
      <c r="A355" s="1">
        <v>46011</v>
      </c>
      <c r="B355" t="s">
        <v>10</v>
      </c>
      <c r="C355">
        <v>1091.29</v>
      </c>
      <c r="D355">
        <v>0</v>
      </c>
      <c r="E355">
        <v>393885.46</v>
      </c>
      <c r="F355">
        <v>110430.99</v>
      </c>
      <c r="G355">
        <v>1001932.05</v>
      </c>
      <c r="H355">
        <v>2.1640000000000001E-3</v>
      </c>
    </row>
    <row r="356" spans="1:8" x14ac:dyDescent="0.35">
      <c r="A356" s="1">
        <v>46012</v>
      </c>
      <c r="B356" t="s">
        <v>9</v>
      </c>
      <c r="C356">
        <v>984.63</v>
      </c>
      <c r="D356">
        <v>4</v>
      </c>
      <c r="E356">
        <v>414987.05</v>
      </c>
      <c r="F356">
        <v>163904.35</v>
      </c>
      <c r="G356">
        <v>1039955.34</v>
      </c>
      <c r="H356">
        <v>1.701E-3</v>
      </c>
    </row>
    <row r="357" spans="1:8" x14ac:dyDescent="0.35">
      <c r="A357" s="1">
        <v>46013</v>
      </c>
      <c r="B357" t="s">
        <v>8</v>
      </c>
      <c r="C357">
        <v>1059.01</v>
      </c>
      <c r="D357">
        <v>4</v>
      </c>
      <c r="E357">
        <v>511820.52</v>
      </c>
      <c r="F357">
        <v>205462.59</v>
      </c>
      <c r="G357">
        <v>1037558.79</v>
      </c>
      <c r="H357">
        <v>1.4760000000000001E-3</v>
      </c>
    </row>
    <row r="358" spans="1:8" x14ac:dyDescent="0.35">
      <c r="A358" s="1">
        <v>46014</v>
      </c>
      <c r="B358" t="s">
        <v>8</v>
      </c>
      <c r="C358">
        <v>1470.08</v>
      </c>
      <c r="D358">
        <v>0</v>
      </c>
      <c r="E358">
        <v>665051.79</v>
      </c>
      <c r="F358">
        <v>86289.75</v>
      </c>
      <c r="G358">
        <v>1595887.39</v>
      </c>
      <c r="H358">
        <v>1.957E-3</v>
      </c>
    </row>
    <row r="359" spans="1:8" x14ac:dyDescent="0.35">
      <c r="A359" s="1">
        <v>46015</v>
      </c>
      <c r="B359" t="s">
        <v>11</v>
      </c>
      <c r="C359">
        <v>1085.8399999999999</v>
      </c>
      <c r="D359">
        <v>4</v>
      </c>
      <c r="E359">
        <v>506330.19</v>
      </c>
      <c r="F359">
        <v>170711.41</v>
      </c>
      <c r="G359">
        <v>1084406.6499999999</v>
      </c>
      <c r="H359">
        <v>1.604E-3</v>
      </c>
    </row>
    <row r="360" spans="1:8" x14ac:dyDescent="0.35">
      <c r="A360" s="1">
        <v>46016</v>
      </c>
      <c r="B360" t="s">
        <v>9</v>
      </c>
      <c r="C360">
        <v>995.79</v>
      </c>
      <c r="D360">
        <v>1</v>
      </c>
      <c r="E360">
        <v>460351.92</v>
      </c>
      <c r="F360">
        <v>117638.02</v>
      </c>
      <c r="G360">
        <v>796688.07</v>
      </c>
      <c r="H360">
        <v>1.7229999999999999E-3</v>
      </c>
    </row>
    <row r="361" spans="1:8" x14ac:dyDescent="0.35">
      <c r="A361" s="1">
        <v>46017</v>
      </c>
      <c r="B361" t="s">
        <v>9</v>
      </c>
      <c r="C361">
        <v>1038.6099999999999</v>
      </c>
      <c r="D361">
        <v>1</v>
      </c>
      <c r="E361">
        <v>406537.44</v>
      </c>
      <c r="F361">
        <v>176046.47</v>
      </c>
      <c r="G361">
        <v>856930.08</v>
      </c>
      <c r="H361">
        <v>1.7830000000000001E-3</v>
      </c>
    </row>
    <row r="362" spans="1:8" x14ac:dyDescent="0.35">
      <c r="A362" s="1">
        <v>46018</v>
      </c>
      <c r="B362" t="s">
        <v>11</v>
      </c>
      <c r="C362">
        <v>1023.76</v>
      </c>
      <c r="D362">
        <v>1</v>
      </c>
      <c r="E362">
        <v>413636.88</v>
      </c>
      <c r="F362">
        <v>110558.99</v>
      </c>
      <c r="G362">
        <v>1164107.28</v>
      </c>
      <c r="H362">
        <v>1.9530000000000001E-3</v>
      </c>
    </row>
    <row r="363" spans="1:8" x14ac:dyDescent="0.35">
      <c r="A363" s="1">
        <v>46019</v>
      </c>
      <c r="B363" t="s">
        <v>8</v>
      </c>
      <c r="C363">
        <v>1069.93</v>
      </c>
      <c r="D363">
        <v>3</v>
      </c>
      <c r="E363">
        <v>520512.05</v>
      </c>
      <c r="F363">
        <v>166597.71</v>
      </c>
      <c r="G363">
        <v>1268543.1200000001</v>
      </c>
      <c r="H363">
        <v>1.557E-3</v>
      </c>
    </row>
    <row r="364" spans="1:8" x14ac:dyDescent="0.35">
      <c r="A364" s="1">
        <v>46020</v>
      </c>
      <c r="B364" t="s">
        <v>11</v>
      </c>
      <c r="C364">
        <v>939.8</v>
      </c>
      <c r="D364">
        <v>2</v>
      </c>
      <c r="E364">
        <v>428154.72</v>
      </c>
      <c r="F364">
        <v>90654.49</v>
      </c>
      <c r="G364">
        <v>814604.78</v>
      </c>
      <c r="H364">
        <v>1.8109999999999999E-3</v>
      </c>
    </row>
    <row r="365" spans="1:8" x14ac:dyDescent="0.35">
      <c r="A365" s="1">
        <v>46021</v>
      </c>
      <c r="B365" t="s">
        <v>10</v>
      </c>
      <c r="C365">
        <v>912.59</v>
      </c>
      <c r="D365">
        <v>6</v>
      </c>
      <c r="E365">
        <v>333828.36</v>
      </c>
      <c r="F365">
        <v>287273.58</v>
      </c>
      <c r="G365">
        <v>965205.64</v>
      </c>
      <c r="H365">
        <v>1.469E-3</v>
      </c>
    </row>
    <row r="366" spans="1:8" x14ac:dyDescent="0.35">
      <c r="A366" s="1">
        <v>46022</v>
      </c>
      <c r="B366" t="s">
        <v>9</v>
      </c>
      <c r="C366">
        <v>1079.08</v>
      </c>
      <c r="D366">
        <v>3</v>
      </c>
      <c r="E366">
        <v>411489.34</v>
      </c>
      <c r="F366">
        <v>165306.07999999999</v>
      </c>
      <c r="G366">
        <v>1022890.13</v>
      </c>
      <c r="H366">
        <v>1.8710000000000001E-3</v>
      </c>
    </row>
    <row r="367" spans="1:8" x14ac:dyDescent="0.35">
      <c r="A367" s="1">
        <v>45658</v>
      </c>
      <c r="B367" t="s">
        <v>8</v>
      </c>
      <c r="C367">
        <v>1132.47</v>
      </c>
      <c r="D367">
        <v>0</v>
      </c>
      <c r="E367">
        <v>526752.35</v>
      </c>
      <c r="F367">
        <v>112475.66</v>
      </c>
      <c r="G367">
        <v>1278415.44</v>
      </c>
      <c r="H367">
        <v>1.7719999999999999E-3</v>
      </c>
    </row>
    <row r="368" spans="1:8" x14ac:dyDescent="0.35">
      <c r="A368" s="1">
        <v>45659</v>
      </c>
      <c r="B368" t="s">
        <v>11</v>
      </c>
      <c r="C368">
        <v>840.5</v>
      </c>
      <c r="D368">
        <v>3</v>
      </c>
      <c r="E368">
        <v>379630.6</v>
      </c>
      <c r="F368">
        <v>201162.82</v>
      </c>
      <c r="G368">
        <v>771680.98</v>
      </c>
      <c r="H368">
        <v>1.4469999999999999E-3</v>
      </c>
    </row>
    <row r="369" spans="1:8" x14ac:dyDescent="0.35">
      <c r="A369" s="1">
        <v>45660</v>
      </c>
      <c r="B369" t="s">
        <v>8</v>
      </c>
      <c r="C369">
        <v>1272.3800000000001</v>
      </c>
      <c r="D369">
        <v>1</v>
      </c>
      <c r="E369">
        <v>586298.85</v>
      </c>
      <c r="F369">
        <v>117344.1</v>
      </c>
      <c r="G369">
        <v>1346091.37</v>
      </c>
      <c r="H369">
        <v>1.8079999999999999E-3</v>
      </c>
    </row>
    <row r="370" spans="1:8" x14ac:dyDescent="0.35">
      <c r="A370" s="1">
        <v>45661</v>
      </c>
      <c r="B370" t="s">
        <v>10</v>
      </c>
      <c r="C370">
        <v>1232.2</v>
      </c>
      <c r="D370">
        <v>2</v>
      </c>
      <c r="E370">
        <v>499247.87</v>
      </c>
      <c r="F370">
        <v>98713.79</v>
      </c>
      <c r="G370">
        <v>1040722.11</v>
      </c>
      <c r="H370">
        <v>2.0609999999999999E-3</v>
      </c>
    </row>
    <row r="371" spans="1:8" x14ac:dyDescent="0.35">
      <c r="A371" s="1">
        <v>45662</v>
      </c>
      <c r="B371" t="s">
        <v>9</v>
      </c>
      <c r="C371">
        <v>985.79</v>
      </c>
      <c r="D371">
        <v>2</v>
      </c>
      <c r="E371">
        <v>347198.79</v>
      </c>
      <c r="F371">
        <v>146864.10999999999</v>
      </c>
      <c r="G371">
        <v>921651.69</v>
      </c>
      <c r="H371">
        <v>1.9949999999999998E-3</v>
      </c>
    </row>
    <row r="372" spans="1:8" x14ac:dyDescent="0.35">
      <c r="A372" s="1">
        <v>45663</v>
      </c>
      <c r="B372" t="s">
        <v>11</v>
      </c>
      <c r="C372">
        <v>867.29</v>
      </c>
      <c r="D372">
        <v>2</v>
      </c>
      <c r="E372">
        <v>304844.15000000002</v>
      </c>
      <c r="F372">
        <v>159614.26999999999</v>
      </c>
      <c r="G372">
        <v>1028090.78</v>
      </c>
      <c r="H372">
        <v>1.867E-3</v>
      </c>
    </row>
    <row r="373" spans="1:8" x14ac:dyDescent="0.35">
      <c r="A373" s="1">
        <v>45664</v>
      </c>
      <c r="B373" t="s">
        <v>8</v>
      </c>
      <c r="C373">
        <v>804.18</v>
      </c>
      <c r="D373">
        <v>2</v>
      </c>
      <c r="E373">
        <v>374826.66</v>
      </c>
      <c r="F373">
        <v>205938.22</v>
      </c>
      <c r="G373">
        <v>811029.06</v>
      </c>
      <c r="H373">
        <v>1.3849999999999999E-3</v>
      </c>
    </row>
    <row r="374" spans="1:8" x14ac:dyDescent="0.35">
      <c r="A374" s="1">
        <v>45665</v>
      </c>
      <c r="B374" t="s">
        <v>9</v>
      </c>
      <c r="C374">
        <v>1064.3499999999999</v>
      </c>
      <c r="D374">
        <v>1</v>
      </c>
      <c r="E374">
        <v>419348.27</v>
      </c>
      <c r="F374">
        <v>185971.28</v>
      </c>
      <c r="G374">
        <v>1071992.22</v>
      </c>
      <c r="H374">
        <v>1.758E-3</v>
      </c>
    </row>
    <row r="375" spans="1:8" x14ac:dyDescent="0.35">
      <c r="A375" s="1">
        <v>45666</v>
      </c>
      <c r="B375" t="s">
        <v>9</v>
      </c>
      <c r="C375">
        <v>1128.8399999999999</v>
      </c>
      <c r="D375">
        <v>1</v>
      </c>
      <c r="E375">
        <v>395321.53</v>
      </c>
      <c r="F375">
        <v>114970.08</v>
      </c>
      <c r="G375">
        <v>1194966.33</v>
      </c>
      <c r="H375">
        <v>2.212E-3</v>
      </c>
    </row>
    <row r="376" spans="1:8" x14ac:dyDescent="0.35">
      <c r="A376" s="1">
        <v>45667</v>
      </c>
      <c r="B376" t="s">
        <v>8</v>
      </c>
      <c r="C376">
        <v>1300.53</v>
      </c>
      <c r="D376">
        <v>2</v>
      </c>
      <c r="E376">
        <v>468002.29</v>
      </c>
      <c r="F376">
        <v>124235.3</v>
      </c>
      <c r="G376">
        <v>1168712.8500000001</v>
      </c>
      <c r="H376">
        <v>2.196E-3</v>
      </c>
    </row>
    <row r="377" spans="1:8" x14ac:dyDescent="0.35">
      <c r="A377" s="1">
        <v>45668</v>
      </c>
      <c r="B377" t="s">
        <v>9</v>
      </c>
      <c r="C377">
        <v>1201.54</v>
      </c>
      <c r="D377">
        <v>3</v>
      </c>
      <c r="E377">
        <v>593164.86</v>
      </c>
      <c r="F377">
        <v>251408.65</v>
      </c>
      <c r="G377">
        <v>1338612.18</v>
      </c>
      <c r="H377">
        <v>1.423E-3</v>
      </c>
    </row>
    <row r="378" spans="1:8" x14ac:dyDescent="0.35">
      <c r="A378" s="1">
        <v>45669</v>
      </c>
      <c r="B378" t="s">
        <v>9</v>
      </c>
      <c r="C378">
        <v>1103.1300000000001</v>
      </c>
      <c r="D378">
        <v>1</v>
      </c>
      <c r="E378">
        <v>446605.71</v>
      </c>
      <c r="F378">
        <v>103807.19</v>
      </c>
      <c r="G378">
        <v>968918.35</v>
      </c>
      <c r="H378">
        <v>2.0040000000000001E-3</v>
      </c>
    </row>
    <row r="379" spans="1:8" x14ac:dyDescent="0.35">
      <c r="A379" s="1">
        <v>45670</v>
      </c>
      <c r="B379" t="s">
        <v>11</v>
      </c>
      <c r="C379">
        <v>934.61</v>
      </c>
      <c r="D379">
        <v>1</v>
      </c>
      <c r="E379">
        <v>436645.91</v>
      </c>
      <c r="F379">
        <v>156744.76</v>
      </c>
      <c r="G379">
        <v>802624.95</v>
      </c>
      <c r="H379">
        <v>1.575E-3</v>
      </c>
    </row>
    <row r="380" spans="1:8" x14ac:dyDescent="0.35">
      <c r="A380" s="1">
        <v>45671</v>
      </c>
      <c r="B380" t="s">
        <v>9</v>
      </c>
      <c r="C380">
        <v>1174.73</v>
      </c>
      <c r="D380">
        <v>2</v>
      </c>
      <c r="E380">
        <v>471982.96</v>
      </c>
      <c r="F380">
        <v>227622.88</v>
      </c>
      <c r="G380">
        <v>1076292.73</v>
      </c>
      <c r="H380">
        <v>1.6789999999999999E-3</v>
      </c>
    </row>
    <row r="381" spans="1:8" x14ac:dyDescent="0.35">
      <c r="A381" s="1">
        <v>45672</v>
      </c>
      <c r="B381" t="s">
        <v>11</v>
      </c>
      <c r="C381">
        <v>1071.02</v>
      </c>
      <c r="D381">
        <v>3</v>
      </c>
      <c r="E381">
        <v>398522.55</v>
      </c>
      <c r="F381">
        <v>111176.24</v>
      </c>
      <c r="G381">
        <v>1127110.42</v>
      </c>
      <c r="H381">
        <v>2.101E-3</v>
      </c>
    </row>
    <row r="382" spans="1:8" x14ac:dyDescent="0.35">
      <c r="A382" s="1">
        <v>45673</v>
      </c>
      <c r="B382" t="s">
        <v>9</v>
      </c>
      <c r="C382">
        <v>936.64</v>
      </c>
      <c r="D382">
        <v>2</v>
      </c>
      <c r="E382">
        <v>398155.94</v>
      </c>
      <c r="F382">
        <v>191943.05</v>
      </c>
      <c r="G382">
        <v>777873.8</v>
      </c>
      <c r="H382">
        <v>1.5870000000000001E-3</v>
      </c>
    </row>
    <row r="383" spans="1:8" x14ac:dyDescent="0.35">
      <c r="A383" s="1">
        <v>45674</v>
      </c>
      <c r="B383" t="s">
        <v>10</v>
      </c>
      <c r="C383">
        <v>976.63</v>
      </c>
      <c r="D383">
        <v>2</v>
      </c>
      <c r="E383">
        <v>421889.65</v>
      </c>
      <c r="F383">
        <v>154922.4</v>
      </c>
      <c r="G383">
        <v>798450.97</v>
      </c>
      <c r="H383">
        <v>1.6930000000000001E-3</v>
      </c>
    </row>
    <row r="384" spans="1:8" x14ac:dyDescent="0.35">
      <c r="A384" s="1">
        <v>45675</v>
      </c>
      <c r="B384" t="s">
        <v>10</v>
      </c>
      <c r="C384">
        <v>969.89</v>
      </c>
      <c r="D384">
        <v>1</v>
      </c>
      <c r="E384">
        <v>462197.47</v>
      </c>
      <c r="F384">
        <v>217178.88</v>
      </c>
      <c r="G384">
        <v>1083613.8799999999</v>
      </c>
      <c r="H384">
        <v>1.428E-3</v>
      </c>
    </row>
    <row r="385" spans="1:8" x14ac:dyDescent="0.35">
      <c r="A385" s="1">
        <v>45676</v>
      </c>
      <c r="B385" t="s">
        <v>11</v>
      </c>
      <c r="C385">
        <v>715.18</v>
      </c>
      <c r="D385">
        <v>3</v>
      </c>
      <c r="E385">
        <v>352378.87</v>
      </c>
      <c r="F385">
        <v>259222.89</v>
      </c>
      <c r="G385">
        <v>775746.5</v>
      </c>
      <c r="H385">
        <v>1.1689999999999999E-3</v>
      </c>
    </row>
    <row r="386" spans="1:8" x14ac:dyDescent="0.35">
      <c r="A386" s="1">
        <v>45677</v>
      </c>
      <c r="B386" t="s">
        <v>11</v>
      </c>
      <c r="C386">
        <v>907.19</v>
      </c>
      <c r="D386">
        <v>1</v>
      </c>
      <c r="E386">
        <v>398289.23</v>
      </c>
      <c r="F386">
        <v>80962.23</v>
      </c>
      <c r="G386">
        <v>951589.86</v>
      </c>
      <c r="H386">
        <v>1.8929999999999999E-3</v>
      </c>
    </row>
    <row r="387" spans="1:8" x14ac:dyDescent="0.35">
      <c r="A387" s="1">
        <v>45678</v>
      </c>
      <c r="B387" t="s">
        <v>10</v>
      </c>
      <c r="C387">
        <v>1049.78</v>
      </c>
      <c r="D387">
        <v>3</v>
      </c>
      <c r="E387">
        <v>516023.18</v>
      </c>
      <c r="F387">
        <v>254020.34</v>
      </c>
      <c r="G387">
        <v>1058787.71</v>
      </c>
      <c r="H387">
        <v>1.3630000000000001E-3</v>
      </c>
    </row>
    <row r="388" spans="1:8" x14ac:dyDescent="0.35">
      <c r="A388" s="1">
        <v>45679</v>
      </c>
      <c r="B388" t="s">
        <v>9</v>
      </c>
      <c r="C388">
        <v>1087.27</v>
      </c>
      <c r="D388">
        <v>2</v>
      </c>
      <c r="E388">
        <v>489259.14</v>
      </c>
      <c r="F388">
        <v>114404.96</v>
      </c>
      <c r="G388">
        <v>1115572.56</v>
      </c>
      <c r="H388">
        <v>1.8010000000000001E-3</v>
      </c>
    </row>
    <row r="389" spans="1:8" x14ac:dyDescent="0.35">
      <c r="A389" s="1">
        <v>45680</v>
      </c>
      <c r="B389" t="s">
        <v>11</v>
      </c>
      <c r="C389">
        <v>713.5</v>
      </c>
      <c r="D389">
        <v>2</v>
      </c>
      <c r="E389">
        <v>250692.84</v>
      </c>
      <c r="F389">
        <v>143554.4</v>
      </c>
      <c r="G389">
        <v>835137.44</v>
      </c>
      <c r="H389">
        <v>1.81E-3</v>
      </c>
    </row>
    <row r="390" spans="1:8" x14ac:dyDescent="0.35">
      <c r="A390" s="1">
        <v>45681</v>
      </c>
      <c r="B390" t="s">
        <v>8</v>
      </c>
      <c r="C390">
        <v>1294.29</v>
      </c>
      <c r="D390">
        <v>1</v>
      </c>
      <c r="E390">
        <v>617645.17000000004</v>
      </c>
      <c r="F390">
        <v>179329.22</v>
      </c>
      <c r="G390">
        <v>1084824.8999999999</v>
      </c>
      <c r="H390">
        <v>1.624E-3</v>
      </c>
    </row>
    <row r="391" spans="1:8" x14ac:dyDescent="0.35">
      <c r="A391" s="1">
        <v>45682</v>
      </c>
      <c r="B391" t="s">
        <v>9</v>
      </c>
      <c r="C391">
        <v>909.59</v>
      </c>
      <c r="D391">
        <v>1</v>
      </c>
      <c r="E391">
        <v>383968.73</v>
      </c>
      <c r="F391">
        <v>169365.1</v>
      </c>
      <c r="G391">
        <v>770788.13</v>
      </c>
      <c r="H391">
        <v>1.6440000000000001E-3</v>
      </c>
    </row>
    <row r="392" spans="1:8" x14ac:dyDescent="0.35">
      <c r="A392" s="1">
        <v>45683</v>
      </c>
      <c r="B392" t="s">
        <v>9</v>
      </c>
      <c r="C392">
        <v>986.3</v>
      </c>
      <c r="D392">
        <v>2</v>
      </c>
      <c r="E392">
        <v>457792.86</v>
      </c>
      <c r="F392">
        <v>145758.60999999999</v>
      </c>
      <c r="G392">
        <v>943873.72</v>
      </c>
      <c r="H392">
        <v>1.634E-3</v>
      </c>
    </row>
    <row r="393" spans="1:8" x14ac:dyDescent="0.35">
      <c r="A393" s="1">
        <v>45684</v>
      </c>
      <c r="B393" t="s">
        <v>10</v>
      </c>
      <c r="C393">
        <v>765.05</v>
      </c>
      <c r="D393">
        <v>5</v>
      </c>
      <c r="E393">
        <v>296570.84000000003</v>
      </c>
      <c r="F393">
        <v>234611.1</v>
      </c>
      <c r="G393">
        <v>721769.86</v>
      </c>
      <c r="H393">
        <v>1.4400000000000001E-3</v>
      </c>
    </row>
    <row r="394" spans="1:8" x14ac:dyDescent="0.35">
      <c r="A394" s="1">
        <v>45685</v>
      </c>
      <c r="B394" t="s">
        <v>11</v>
      </c>
      <c r="C394">
        <v>718.32</v>
      </c>
      <c r="D394">
        <v>2</v>
      </c>
      <c r="E394">
        <v>305929.75</v>
      </c>
      <c r="F394">
        <v>123127.92</v>
      </c>
      <c r="G394">
        <v>585845.1</v>
      </c>
      <c r="H394">
        <v>1.6739999999999999E-3</v>
      </c>
    </row>
    <row r="395" spans="1:8" x14ac:dyDescent="0.35">
      <c r="A395" s="1">
        <v>45686</v>
      </c>
      <c r="B395" t="s">
        <v>9</v>
      </c>
      <c r="C395">
        <v>1209.6099999999999</v>
      </c>
      <c r="D395">
        <v>0</v>
      </c>
      <c r="E395">
        <v>455157.74</v>
      </c>
      <c r="F395">
        <v>180015.55</v>
      </c>
      <c r="G395">
        <v>1104367.8600000001</v>
      </c>
      <c r="H395">
        <v>1.9040000000000001E-3</v>
      </c>
    </row>
    <row r="396" spans="1:8" x14ac:dyDescent="0.35">
      <c r="A396" s="1">
        <v>45687</v>
      </c>
      <c r="B396" t="s">
        <v>11</v>
      </c>
      <c r="C396">
        <v>915.88</v>
      </c>
      <c r="D396">
        <v>2</v>
      </c>
      <c r="E396">
        <v>424802.13</v>
      </c>
      <c r="F396">
        <v>132374.41</v>
      </c>
      <c r="G396">
        <v>862048.64</v>
      </c>
      <c r="H396">
        <v>1.6440000000000001E-3</v>
      </c>
    </row>
    <row r="397" spans="1:8" x14ac:dyDescent="0.35">
      <c r="A397" s="1">
        <v>45688</v>
      </c>
      <c r="B397" t="s">
        <v>11</v>
      </c>
      <c r="C397">
        <v>987.66</v>
      </c>
      <c r="D397">
        <v>5</v>
      </c>
      <c r="E397">
        <v>419391.86</v>
      </c>
      <c r="F397">
        <v>180702.02</v>
      </c>
      <c r="G397">
        <v>1023664.32</v>
      </c>
      <c r="H397">
        <v>1.6459999999999999E-3</v>
      </c>
    </row>
    <row r="398" spans="1:8" x14ac:dyDescent="0.35">
      <c r="A398" s="1">
        <v>45689</v>
      </c>
      <c r="B398" t="s">
        <v>11</v>
      </c>
      <c r="C398">
        <v>817.39</v>
      </c>
      <c r="D398">
        <v>2</v>
      </c>
      <c r="E398">
        <v>294548.07</v>
      </c>
      <c r="F398">
        <v>231117.68</v>
      </c>
      <c r="G398">
        <v>819654.5</v>
      </c>
      <c r="H398">
        <v>1.555E-3</v>
      </c>
    </row>
    <row r="399" spans="1:8" x14ac:dyDescent="0.35">
      <c r="A399" s="1">
        <v>45690</v>
      </c>
      <c r="B399" t="s">
        <v>10</v>
      </c>
      <c r="C399">
        <v>846.07</v>
      </c>
      <c r="D399">
        <v>3</v>
      </c>
      <c r="E399">
        <v>384150.58</v>
      </c>
      <c r="F399">
        <v>225668.42</v>
      </c>
      <c r="G399">
        <v>898404.99</v>
      </c>
      <c r="H399">
        <v>1.387E-3</v>
      </c>
    </row>
    <row r="400" spans="1:8" x14ac:dyDescent="0.35">
      <c r="A400" s="1">
        <v>45691</v>
      </c>
      <c r="B400" t="s">
        <v>11</v>
      </c>
      <c r="C400">
        <v>633.21</v>
      </c>
      <c r="D400">
        <v>1</v>
      </c>
      <c r="E400">
        <v>233769.17</v>
      </c>
      <c r="F400">
        <v>184832.01</v>
      </c>
      <c r="G400">
        <v>506572.44</v>
      </c>
      <c r="H400">
        <v>1.513E-3</v>
      </c>
    </row>
    <row r="401" spans="1:8" x14ac:dyDescent="0.35">
      <c r="A401" s="1">
        <v>45692</v>
      </c>
      <c r="B401" t="s">
        <v>10</v>
      </c>
      <c r="C401">
        <v>1047.95</v>
      </c>
      <c r="D401">
        <v>2</v>
      </c>
      <c r="E401">
        <v>519741.99</v>
      </c>
      <c r="F401">
        <v>123918.8</v>
      </c>
      <c r="G401">
        <v>965871.97</v>
      </c>
      <c r="H401">
        <v>1.6280000000000001E-3</v>
      </c>
    </row>
    <row r="402" spans="1:8" x14ac:dyDescent="0.35">
      <c r="A402" s="1">
        <v>45693</v>
      </c>
      <c r="B402" t="s">
        <v>8</v>
      </c>
      <c r="C402">
        <v>1045.51</v>
      </c>
      <c r="D402">
        <v>0</v>
      </c>
      <c r="E402">
        <v>480309</v>
      </c>
      <c r="F402">
        <v>195026.82</v>
      </c>
      <c r="G402">
        <v>930208.25</v>
      </c>
      <c r="H402">
        <v>1.5479999999999999E-3</v>
      </c>
    </row>
    <row r="403" spans="1:8" x14ac:dyDescent="0.35">
      <c r="A403" s="1">
        <v>45694</v>
      </c>
      <c r="B403" t="s">
        <v>9</v>
      </c>
      <c r="C403">
        <v>987.65</v>
      </c>
      <c r="D403">
        <v>4</v>
      </c>
      <c r="E403">
        <v>393867.28</v>
      </c>
      <c r="F403">
        <v>236893.2</v>
      </c>
      <c r="G403">
        <v>1112791.58</v>
      </c>
      <c r="H403">
        <v>1.5659999999999999E-3</v>
      </c>
    </row>
    <row r="404" spans="1:8" x14ac:dyDescent="0.35">
      <c r="A404" s="1">
        <v>45695</v>
      </c>
      <c r="B404" t="s">
        <v>9</v>
      </c>
      <c r="C404">
        <v>1030.96</v>
      </c>
      <c r="D404">
        <v>5</v>
      </c>
      <c r="E404">
        <v>463058.11</v>
      </c>
      <c r="F404">
        <v>161768.37</v>
      </c>
      <c r="G404">
        <v>1049310.33</v>
      </c>
      <c r="H404">
        <v>1.65E-3</v>
      </c>
    </row>
    <row r="405" spans="1:8" x14ac:dyDescent="0.35">
      <c r="A405" s="1">
        <v>45696</v>
      </c>
      <c r="B405" t="s">
        <v>8</v>
      </c>
      <c r="C405">
        <v>1029.68</v>
      </c>
      <c r="D405">
        <v>1</v>
      </c>
      <c r="E405">
        <v>480958.53</v>
      </c>
      <c r="F405">
        <v>157565.92000000001</v>
      </c>
      <c r="G405">
        <v>1215938.51</v>
      </c>
      <c r="H405">
        <v>1.6130000000000001E-3</v>
      </c>
    </row>
    <row r="406" spans="1:8" x14ac:dyDescent="0.35">
      <c r="A406" s="1">
        <v>45697</v>
      </c>
      <c r="B406" t="s">
        <v>10</v>
      </c>
      <c r="C406">
        <v>761.73</v>
      </c>
      <c r="D406">
        <v>2</v>
      </c>
      <c r="E406">
        <v>325318.39</v>
      </c>
      <c r="F406">
        <v>166333.57999999999</v>
      </c>
      <c r="G406">
        <v>721901.2</v>
      </c>
      <c r="H406">
        <v>1.549E-3</v>
      </c>
    </row>
    <row r="407" spans="1:8" x14ac:dyDescent="0.35">
      <c r="A407" s="1">
        <v>45698</v>
      </c>
      <c r="B407" t="s">
        <v>9</v>
      </c>
      <c r="C407">
        <v>1218.94</v>
      </c>
      <c r="D407">
        <v>6</v>
      </c>
      <c r="E407">
        <v>559916.73</v>
      </c>
      <c r="F407">
        <v>299253.64</v>
      </c>
      <c r="G407">
        <v>1108782.94</v>
      </c>
      <c r="H407">
        <v>1.4189999999999999E-3</v>
      </c>
    </row>
    <row r="408" spans="1:8" x14ac:dyDescent="0.35">
      <c r="A408" s="1">
        <v>45699</v>
      </c>
      <c r="B408" t="s">
        <v>10</v>
      </c>
      <c r="C408">
        <v>919.61</v>
      </c>
      <c r="D408">
        <v>1</v>
      </c>
      <c r="E408">
        <v>456840.85</v>
      </c>
      <c r="F408">
        <v>198480.58</v>
      </c>
      <c r="G408">
        <v>993604.94</v>
      </c>
      <c r="H408">
        <v>1.403E-3</v>
      </c>
    </row>
    <row r="409" spans="1:8" x14ac:dyDescent="0.35">
      <c r="A409" s="1">
        <v>45700</v>
      </c>
      <c r="B409" t="s">
        <v>10</v>
      </c>
      <c r="C409">
        <v>1081</v>
      </c>
      <c r="D409">
        <v>4</v>
      </c>
      <c r="E409">
        <v>404787.54</v>
      </c>
      <c r="F409">
        <v>247930.85</v>
      </c>
      <c r="G409">
        <v>1182377.53</v>
      </c>
      <c r="H409">
        <v>1.6559999999999999E-3</v>
      </c>
    </row>
    <row r="410" spans="1:8" x14ac:dyDescent="0.35">
      <c r="A410" s="1">
        <v>45701</v>
      </c>
      <c r="B410" t="s">
        <v>10</v>
      </c>
      <c r="C410">
        <v>955.9</v>
      </c>
      <c r="D410">
        <v>1</v>
      </c>
      <c r="E410">
        <v>435467.25</v>
      </c>
      <c r="F410">
        <v>215538.57</v>
      </c>
      <c r="G410">
        <v>932069.02</v>
      </c>
      <c r="H410">
        <v>1.4679999999999999E-3</v>
      </c>
    </row>
    <row r="411" spans="1:8" x14ac:dyDescent="0.35">
      <c r="A411" s="1">
        <v>45702</v>
      </c>
      <c r="B411" t="s">
        <v>8</v>
      </c>
      <c r="C411">
        <v>1189.26</v>
      </c>
      <c r="D411">
        <v>3</v>
      </c>
      <c r="E411">
        <v>588749.51</v>
      </c>
      <c r="F411">
        <v>117750.31</v>
      </c>
      <c r="G411">
        <v>1191541.3999999999</v>
      </c>
      <c r="H411">
        <v>1.683E-3</v>
      </c>
    </row>
    <row r="412" spans="1:8" x14ac:dyDescent="0.35">
      <c r="A412" s="1">
        <v>45703</v>
      </c>
      <c r="B412" t="s">
        <v>8</v>
      </c>
      <c r="C412">
        <v>1304.82</v>
      </c>
      <c r="D412">
        <v>2</v>
      </c>
      <c r="E412">
        <v>534303.42000000004</v>
      </c>
      <c r="F412">
        <v>109757.25</v>
      </c>
      <c r="G412">
        <v>1495482.97</v>
      </c>
      <c r="H412">
        <v>2.026E-3</v>
      </c>
    </row>
    <row r="413" spans="1:8" x14ac:dyDescent="0.35">
      <c r="A413" s="1">
        <v>45704</v>
      </c>
      <c r="B413" t="s">
        <v>10</v>
      </c>
      <c r="C413">
        <v>1063.1500000000001</v>
      </c>
      <c r="D413">
        <v>1</v>
      </c>
      <c r="E413">
        <v>418355.19</v>
      </c>
      <c r="F413">
        <v>200712.11</v>
      </c>
      <c r="G413">
        <v>1136589.3400000001</v>
      </c>
      <c r="H413">
        <v>1.717E-3</v>
      </c>
    </row>
    <row r="414" spans="1:8" x14ac:dyDescent="0.35">
      <c r="A414" s="1">
        <v>45705</v>
      </c>
      <c r="B414" t="s">
        <v>11</v>
      </c>
      <c r="C414">
        <v>802.59</v>
      </c>
      <c r="D414">
        <v>4</v>
      </c>
      <c r="E414">
        <v>362051.31</v>
      </c>
      <c r="F414">
        <v>137775.37</v>
      </c>
      <c r="G414">
        <v>818276.66</v>
      </c>
      <c r="H414">
        <v>1.606E-3</v>
      </c>
    </row>
    <row r="415" spans="1:8" x14ac:dyDescent="0.35">
      <c r="A415" s="1">
        <v>45706</v>
      </c>
      <c r="B415" t="s">
        <v>8</v>
      </c>
      <c r="C415">
        <v>1315.81</v>
      </c>
      <c r="D415">
        <v>1</v>
      </c>
      <c r="E415">
        <v>530199.15</v>
      </c>
      <c r="F415">
        <v>163193.87</v>
      </c>
      <c r="G415">
        <v>1228470.45</v>
      </c>
      <c r="H415">
        <v>1.8979999999999999E-3</v>
      </c>
    </row>
    <row r="416" spans="1:8" x14ac:dyDescent="0.35">
      <c r="A416" s="1">
        <v>45707</v>
      </c>
      <c r="B416" t="s">
        <v>11</v>
      </c>
      <c r="C416">
        <v>805.61</v>
      </c>
      <c r="D416">
        <v>0</v>
      </c>
      <c r="E416">
        <v>376674.44</v>
      </c>
      <c r="F416">
        <v>92863.75</v>
      </c>
      <c r="G416">
        <v>783945.01</v>
      </c>
      <c r="H416">
        <v>1.7160000000000001E-3</v>
      </c>
    </row>
    <row r="417" spans="1:8" x14ac:dyDescent="0.35">
      <c r="A417" s="1">
        <v>45708</v>
      </c>
      <c r="B417" t="s">
        <v>11</v>
      </c>
      <c r="C417">
        <v>1130.06</v>
      </c>
      <c r="D417">
        <v>2</v>
      </c>
      <c r="E417">
        <v>458903.64</v>
      </c>
      <c r="F417">
        <v>231667.29</v>
      </c>
      <c r="G417">
        <v>1194126.46</v>
      </c>
      <c r="H417">
        <v>1.6360000000000001E-3</v>
      </c>
    </row>
    <row r="418" spans="1:8" x14ac:dyDescent="0.35">
      <c r="A418" s="1">
        <v>45709</v>
      </c>
      <c r="B418" t="s">
        <v>10</v>
      </c>
      <c r="C418">
        <v>1167.6099999999999</v>
      </c>
      <c r="D418">
        <v>1</v>
      </c>
      <c r="E418">
        <v>540184.14</v>
      </c>
      <c r="F418">
        <v>85205.93</v>
      </c>
      <c r="G418">
        <v>1063857.31</v>
      </c>
      <c r="H418">
        <v>1.867E-3</v>
      </c>
    </row>
    <row r="419" spans="1:8" x14ac:dyDescent="0.35">
      <c r="A419" s="1">
        <v>45710</v>
      </c>
      <c r="B419" t="s">
        <v>11</v>
      </c>
      <c r="C419">
        <v>1117.27</v>
      </c>
      <c r="D419">
        <v>1</v>
      </c>
      <c r="E419">
        <v>555347.42000000004</v>
      </c>
      <c r="F419">
        <v>80125.38</v>
      </c>
      <c r="G419">
        <v>1125632.55</v>
      </c>
      <c r="H419">
        <v>1.758E-3</v>
      </c>
    </row>
    <row r="420" spans="1:8" x14ac:dyDescent="0.35">
      <c r="A420" s="1">
        <v>45711</v>
      </c>
      <c r="B420" t="s">
        <v>11</v>
      </c>
      <c r="C420">
        <v>865.44</v>
      </c>
      <c r="D420">
        <v>3</v>
      </c>
      <c r="E420">
        <v>354520.4</v>
      </c>
      <c r="F420">
        <v>149641.44</v>
      </c>
      <c r="G420">
        <v>763433.24</v>
      </c>
      <c r="H420">
        <v>1.717E-3</v>
      </c>
    </row>
    <row r="421" spans="1:8" x14ac:dyDescent="0.35">
      <c r="A421" s="1">
        <v>45712</v>
      </c>
      <c r="B421" t="s">
        <v>11</v>
      </c>
      <c r="C421">
        <v>761.37</v>
      </c>
      <c r="D421">
        <v>1</v>
      </c>
      <c r="E421">
        <v>299307.25</v>
      </c>
      <c r="F421">
        <v>168513.41</v>
      </c>
      <c r="G421">
        <v>904056.2</v>
      </c>
      <c r="H421">
        <v>1.627E-3</v>
      </c>
    </row>
    <row r="422" spans="1:8" x14ac:dyDescent="0.35">
      <c r="A422" s="1">
        <v>45713</v>
      </c>
      <c r="B422" t="s">
        <v>10</v>
      </c>
      <c r="C422">
        <v>891.74</v>
      </c>
      <c r="D422">
        <v>0</v>
      </c>
      <c r="E422">
        <v>439372.01</v>
      </c>
      <c r="F422">
        <v>94593.62</v>
      </c>
      <c r="G422">
        <v>746231.4</v>
      </c>
      <c r="H422">
        <v>1.67E-3</v>
      </c>
    </row>
    <row r="423" spans="1:8" x14ac:dyDescent="0.35">
      <c r="A423" s="1">
        <v>45714</v>
      </c>
      <c r="B423" t="s">
        <v>10</v>
      </c>
      <c r="C423">
        <v>1026.52</v>
      </c>
      <c r="D423">
        <v>3</v>
      </c>
      <c r="E423">
        <v>361609.82</v>
      </c>
      <c r="F423">
        <v>254752.31</v>
      </c>
      <c r="G423">
        <v>924237.51</v>
      </c>
      <c r="H423">
        <v>1.665E-3</v>
      </c>
    </row>
    <row r="424" spans="1:8" x14ac:dyDescent="0.35">
      <c r="A424" s="1">
        <v>45715</v>
      </c>
      <c r="B424" t="s">
        <v>8</v>
      </c>
      <c r="C424">
        <v>1378.49</v>
      </c>
      <c r="D424">
        <v>2</v>
      </c>
      <c r="E424">
        <v>606052.02</v>
      </c>
      <c r="F424">
        <v>219914.35</v>
      </c>
      <c r="G424">
        <v>1624813.31</v>
      </c>
      <c r="H424">
        <v>1.6689999999999999E-3</v>
      </c>
    </row>
    <row r="425" spans="1:8" x14ac:dyDescent="0.35">
      <c r="A425" s="1">
        <v>45716</v>
      </c>
      <c r="B425" t="s">
        <v>8</v>
      </c>
      <c r="C425">
        <v>1352.05</v>
      </c>
      <c r="D425">
        <v>0</v>
      </c>
      <c r="E425">
        <v>504618.41</v>
      </c>
      <c r="F425">
        <v>191710.44</v>
      </c>
      <c r="G425">
        <v>1479974.47</v>
      </c>
      <c r="H425">
        <v>1.9419999999999999E-3</v>
      </c>
    </row>
    <row r="426" spans="1:8" x14ac:dyDescent="0.35">
      <c r="A426" s="1">
        <v>45717</v>
      </c>
      <c r="B426" t="s">
        <v>11</v>
      </c>
      <c r="C426">
        <v>867.76</v>
      </c>
      <c r="D426">
        <v>3</v>
      </c>
      <c r="E426">
        <v>305721.07</v>
      </c>
      <c r="F426">
        <v>197438.91</v>
      </c>
      <c r="G426">
        <v>782063.66</v>
      </c>
      <c r="H426">
        <v>1.725E-3</v>
      </c>
    </row>
    <row r="427" spans="1:8" x14ac:dyDescent="0.35">
      <c r="A427" s="1">
        <v>45718</v>
      </c>
      <c r="B427" t="s">
        <v>10</v>
      </c>
      <c r="C427">
        <v>1041.52</v>
      </c>
      <c r="D427">
        <v>4</v>
      </c>
      <c r="E427">
        <v>469588.72</v>
      </c>
      <c r="F427">
        <v>276551.03999999998</v>
      </c>
      <c r="G427">
        <v>875664.65</v>
      </c>
      <c r="H427">
        <v>1.3960000000000001E-3</v>
      </c>
    </row>
    <row r="428" spans="1:8" x14ac:dyDescent="0.35">
      <c r="A428" s="1">
        <v>45719</v>
      </c>
      <c r="B428" t="s">
        <v>10</v>
      </c>
      <c r="C428">
        <v>996.47</v>
      </c>
      <c r="D428">
        <v>0</v>
      </c>
      <c r="E428">
        <v>460624.58</v>
      </c>
      <c r="F428">
        <v>187182.3</v>
      </c>
      <c r="G428">
        <v>970168.8</v>
      </c>
      <c r="H428">
        <v>1.5380000000000001E-3</v>
      </c>
    </row>
    <row r="429" spans="1:8" x14ac:dyDescent="0.35">
      <c r="A429" s="1">
        <v>45720</v>
      </c>
      <c r="B429" t="s">
        <v>11</v>
      </c>
      <c r="C429">
        <v>873.85</v>
      </c>
      <c r="D429">
        <v>1</v>
      </c>
      <c r="E429">
        <v>400673.79</v>
      </c>
      <c r="F429">
        <v>71358.12</v>
      </c>
      <c r="G429">
        <v>905114.5</v>
      </c>
      <c r="H429">
        <v>1.851E-3</v>
      </c>
    </row>
    <row r="430" spans="1:8" x14ac:dyDescent="0.35">
      <c r="A430" s="1">
        <v>45721</v>
      </c>
      <c r="B430" t="s">
        <v>8</v>
      </c>
      <c r="C430">
        <v>1435.24</v>
      </c>
      <c r="D430">
        <v>2</v>
      </c>
      <c r="E430">
        <v>545232.57999999996</v>
      </c>
      <c r="F430">
        <v>221620.51</v>
      </c>
      <c r="G430">
        <v>1572285.58</v>
      </c>
      <c r="H430">
        <v>1.872E-3</v>
      </c>
    </row>
    <row r="431" spans="1:8" x14ac:dyDescent="0.35">
      <c r="A431" s="1">
        <v>45722</v>
      </c>
      <c r="B431" t="s">
        <v>10</v>
      </c>
      <c r="C431">
        <v>1193.56</v>
      </c>
      <c r="D431">
        <v>0</v>
      </c>
      <c r="E431">
        <v>462211.94</v>
      </c>
      <c r="F431">
        <v>82160.97</v>
      </c>
      <c r="G431">
        <v>1084133.1000000001</v>
      </c>
      <c r="H431">
        <v>2.1930000000000001E-3</v>
      </c>
    </row>
    <row r="432" spans="1:8" x14ac:dyDescent="0.35">
      <c r="A432" s="1">
        <v>45723</v>
      </c>
      <c r="B432" t="s">
        <v>8</v>
      </c>
      <c r="C432">
        <v>1455.75</v>
      </c>
      <c r="D432">
        <v>2</v>
      </c>
      <c r="E432">
        <v>717283.44</v>
      </c>
      <c r="F432">
        <v>215773.78</v>
      </c>
      <c r="G432">
        <v>1633406.47</v>
      </c>
      <c r="H432">
        <v>1.56E-3</v>
      </c>
    </row>
    <row r="433" spans="1:8" x14ac:dyDescent="0.35">
      <c r="A433" s="1">
        <v>45724</v>
      </c>
      <c r="B433" t="s">
        <v>11</v>
      </c>
      <c r="C433">
        <v>854.88</v>
      </c>
      <c r="D433">
        <v>3</v>
      </c>
      <c r="E433">
        <v>378299.18</v>
      </c>
      <c r="F433">
        <v>221432.22</v>
      </c>
      <c r="G433">
        <v>936235.78</v>
      </c>
      <c r="H433">
        <v>1.4250000000000001E-3</v>
      </c>
    </row>
    <row r="434" spans="1:8" x14ac:dyDescent="0.35">
      <c r="A434" s="1">
        <v>45725</v>
      </c>
      <c r="B434" t="s">
        <v>10</v>
      </c>
      <c r="C434">
        <v>885.51</v>
      </c>
      <c r="D434">
        <v>3</v>
      </c>
      <c r="E434">
        <v>345638.23</v>
      </c>
      <c r="F434">
        <v>165267.34</v>
      </c>
      <c r="G434">
        <v>1025539.79</v>
      </c>
      <c r="H434">
        <v>1.7329999999999999E-3</v>
      </c>
    </row>
    <row r="435" spans="1:8" x14ac:dyDescent="0.35">
      <c r="A435" s="1">
        <v>45726</v>
      </c>
      <c r="B435" t="s">
        <v>11</v>
      </c>
      <c r="C435">
        <v>905.69</v>
      </c>
      <c r="D435">
        <v>4</v>
      </c>
      <c r="E435">
        <v>412831.13</v>
      </c>
      <c r="F435">
        <v>194140.2</v>
      </c>
      <c r="G435">
        <v>884876.28</v>
      </c>
      <c r="H435">
        <v>1.4920000000000001E-3</v>
      </c>
    </row>
    <row r="436" spans="1:8" x14ac:dyDescent="0.35">
      <c r="A436" s="1">
        <v>45727</v>
      </c>
      <c r="B436" t="s">
        <v>9</v>
      </c>
      <c r="C436">
        <v>1180.75</v>
      </c>
      <c r="D436">
        <v>0</v>
      </c>
      <c r="E436">
        <v>559334.18000000005</v>
      </c>
      <c r="F436">
        <v>93857.47</v>
      </c>
      <c r="G436">
        <v>1154261.79</v>
      </c>
      <c r="H436">
        <v>1.8079999999999999E-3</v>
      </c>
    </row>
    <row r="437" spans="1:8" x14ac:dyDescent="0.35">
      <c r="A437" s="1">
        <v>45728</v>
      </c>
      <c r="B437" t="s">
        <v>11</v>
      </c>
      <c r="C437">
        <v>927.64</v>
      </c>
      <c r="D437">
        <v>0</v>
      </c>
      <c r="E437">
        <v>366562.25</v>
      </c>
      <c r="F437">
        <v>125394.69</v>
      </c>
      <c r="G437">
        <v>762954.16</v>
      </c>
      <c r="H437">
        <v>1.8860000000000001E-3</v>
      </c>
    </row>
    <row r="438" spans="1:8" x14ac:dyDescent="0.35">
      <c r="A438" s="1">
        <v>45729</v>
      </c>
      <c r="B438" t="s">
        <v>11</v>
      </c>
      <c r="C438">
        <v>1018.98</v>
      </c>
      <c r="D438">
        <v>0</v>
      </c>
      <c r="E438">
        <v>473483.34</v>
      </c>
      <c r="F438">
        <v>111450.66</v>
      </c>
      <c r="G438">
        <v>1082222.68</v>
      </c>
      <c r="H438">
        <v>1.7420000000000001E-3</v>
      </c>
    </row>
    <row r="439" spans="1:8" x14ac:dyDescent="0.35">
      <c r="A439" s="1">
        <v>45730</v>
      </c>
      <c r="B439" t="s">
        <v>11</v>
      </c>
      <c r="C439">
        <v>897.52</v>
      </c>
      <c r="D439">
        <v>1</v>
      </c>
      <c r="E439">
        <v>335734.63</v>
      </c>
      <c r="F439">
        <v>80573.789999999994</v>
      </c>
      <c r="G439">
        <v>784664.34</v>
      </c>
      <c r="H439">
        <v>2.1559999999999999E-3</v>
      </c>
    </row>
    <row r="440" spans="1:8" x14ac:dyDescent="0.35">
      <c r="A440" s="1">
        <v>45731</v>
      </c>
      <c r="B440" t="s">
        <v>10</v>
      </c>
      <c r="C440">
        <v>1118.56</v>
      </c>
      <c r="D440">
        <v>2</v>
      </c>
      <c r="E440">
        <v>440015.37</v>
      </c>
      <c r="F440">
        <v>136471.03</v>
      </c>
      <c r="G440">
        <v>1006680.94</v>
      </c>
      <c r="H440">
        <v>1.9400000000000001E-3</v>
      </c>
    </row>
    <row r="441" spans="1:8" x14ac:dyDescent="0.35">
      <c r="A441" s="1">
        <v>45732</v>
      </c>
      <c r="B441" t="s">
        <v>11</v>
      </c>
      <c r="C441">
        <v>951.01</v>
      </c>
      <c r="D441">
        <v>2</v>
      </c>
      <c r="E441">
        <v>383321.12</v>
      </c>
      <c r="F441">
        <v>214283.34</v>
      </c>
      <c r="G441">
        <v>1061055.58</v>
      </c>
      <c r="H441">
        <v>1.591E-3</v>
      </c>
    </row>
    <row r="442" spans="1:8" x14ac:dyDescent="0.35">
      <c r="A442" s="1">
        <v>45733</v>
      </c>
      <c r="B442" t="s">
        <v>11</v>
      </c>
      <c r="C442">
        <v>982.33</v>
      </c>
      <c r="D442">
        <v>2</v>
      </c>
      <c r="E442">
        <v>418321.54</v>
      </c>
      <c r="F442">
        <v>231168.12</v>
      </c>
      <c r="G442">
        <v>1130200.9099999999</v>
      </c>
      <c r="H442">
        <v>1.5120000000000001E-3</v>
      </c>
    </row>
    <row r="443" spans="1:8" x14ac:dyDescent="0.35">
      <c r="A443" s="1">
        <v>45734</v>
      </c>
      <c r="B443" t="s">
        <v>9</v>
      </c>
      <c r="C443">
        <v>1061.76</v>
      </c>
      <c r="D443">
        <v>0</v>
      </c>
      <c r="E443">
        <v>434162.49</v>
      </c>
      <c r="F443">
        <v>133005.68</v>
      </c>
      <c r="G443">
        <v>1063087</v>
      </c>
      <c r="H443">
        <v>1.872E-3</v>
      </c>
    </row>
    <row r="444" spans="1:8" x14ac:dyDescent="0.35">
      <c r="A444" s="1">
        <v>45735</v>
      </c>
      <c r="B444" t="s">
        <v>10</v>
      </c>
      <c r="C444">
        <v>1055.1199999999999</v>
      </c>
      <c r="D444">
        <v>5</v>
      </c>
      <c r="E444">
        <v>394673.55</v>
      </c>
      <c r="F444">
        <v>251046.81</v>
      </c>
      <c r="G444">
        <v>919751.44</v>
      </c>
      <c r="H444">
        <v>1.634E-3</v>
      </c>
    </row>
    <row r="445" spans="1:8" x14ac:dyDescent="0.35">
      <c r="A445" s="1">
        <v>45736</v>
      </c>
      <c r="B445" t="s">
        <v>9</v>
      </c>
      <c r="C445">
        <v>1052.97</v>
      </c>
      <c r="D445">
        <v>2</v>
      </c>
      <c r="E445">
        <v>394645.65</v>
      </c>
      <c r="F445">
        <v>90298.82</v>
      </c>
      <c r="G445">
        <v>1145101.1000000001</v>
      </c>
      <c r="H445">
        <v>2.1710000000000002E-3</v>
      </c>
    </row>
    <row r="446" spans="1:8" x14ac:dyDescent="0.35">
      <c r="A446" s="1">
        <v>45737</v>
      </c>
      <c r="B446" t="s">
        <v>11</v>
      </c>
      <c r="C446">
        <v>916.82</v>
      </c>
      <c r="D446">
        <v>1</v>
      </c>
      <c r="E446">
        <v>323516.17</v>
      </c>
      <c r="F446">
        <v>94862.23</v>
      </c>
      <c r="G446">
        <v>1060152.74</v>
      </c>
      <c r="H446">
        <v>2.1909999999999998E-3</v>
      </c>
    </row>
    <row r="447" spans="1:8" x14ac:dyDescent="0.35">
      <c r="A447" s="1">
        <v>45738</v>
      </c>
      <c r="B447" t="s">
        <v>10</v>
      </c>
      <c r="C447">
        <v>1261.7</v>
      </c>
      <c r="D447">
        <v>1</v>
      </c>
      <c r="E447">
        <v>461530.65</v>
      </c>
      <c r="F447">
        <v>103354.2</v>
      </c>
      <c r="G447">
        <v>1271398.1000000001</v>
      </c>
      <c r="H447">
        <v>2.2339999999999999E-3</v>
      </c>
    </row>
    <row r="448" spans="1:8" x14ac:dyDescent="0.35">
      <c r="A448" s="1">
        <v>45739</v>
      </c>
      <c r="B448" t="s">
        <v>9</v>
      </c>
      <c r="C448">
        <v>887.36</v>
      </c>
      <c r="D448">
        <v>0</v>
      </c>
      <c r="E448">
        <v>362622.57</v>
      </c>
      <c r="F448">
        <v>85130.51</v>
      </c>
      <c r="G448">
        <v>787814.16</v>
      </c>
      <c r="H448">
        <v>1.9819999999999998E-3</v>
      </c>
    </row>
    <row r="449" spans="1:8" x14ac:dyDescent="0.35">
      <c r="A449" s="1">
        <v>45740</v>
      </c>
      <c r="B449" t="s">
        <v>11</v>
      </c>
      <c r="C449">
        <v>989.98</v>
      </c>
      <c r="D449">
        <v>4</v>
      </c>
      <c r="E449">
        <v>426815.29</v>
      </c>
      <c r="F449">
        <v>234464.47</v>
      </c>
      <c r="G449">
        <v>1070027.04</v>
      </c>
      <c r="H449">
        <v>1.4970000000000001E-3</v>
      </c>
    </row>
    <row r="450" spans="1:8" x14ac:dyDescent="0.35">
      <c r="A450" s="1">
        <v>45741</v>
      </c>
      <c r="B450" t="s">
        <v>8</v>
      </c>
      <c r="C450">
        <v>1200.07</v>
      </c>
      <c r="D450">
        <v>3</v>
      </c>
      <c r="E450">
        <v>440795.58</v>
      </c>
      <c r="F450">
        <v>200845.68</v>
      </c>
      <c r="G450">
        <v>1016314.47</v>
      </c>
      <c r="H450">
        <v>1.8699999999999999E-3</v>
      </c>
    </row>
    <row r="451" spans="1:8" x14ac:dyDescent="0.35">
      <c r="A451" s="1">
        <v>45742</v>
      </c>
      <c r="B451" t="s">
        <v>9</v>
      </c>
      <c r="C451">
        <v>905.42</v>
      </c>
      <c r="D451">
        <v>1</v>
      </c>
      <c r="E451">
        <v>410891.73</v>
      </c>
      <c r="F451">
        <v>100937.82</v>
      </c>
      <c r="G451">
        <v>866259.43</v>
      </c>
      <c r="H451">
        <v>1.769E-3</v>
      </c>
    </row>
    <row r="452" spans="1:8" x14ac:dyDescent="0.35">
      <c r="A452" s="1">
        <v>45743</v>
      </c>
      <c r="B452" t="s">
        <v>10</v>
      </c>
      <c r="C452">
        <v>980.19</v>
      </c>
      <c r="D452">
        <v>2</v>
      </c>
      <c r="E452">
        <v>459623.11</v>
      </c>
      <c r="F452">
        <v>100356.89</v>
      </c>
      <c r="G452">
        <v>970092.99</v>
      </c>
      <c r="H452">
        <v>1.75E-3</v>
      </c>
    </row>
    <row r="453" spans="1:8" x14ac:dyDescent="0.35">
      <c r="A453" s="1">
        <v>45744</v>
      </c>
      <c r="B453" t="s">
        <v>9</v>
      </c>
      <c r="C453">
        <v>1126.51</v>
      </c>
      <c r="D453">
        <v>3</v>
      </c>
      <c r="E453">
        <v>395965.81</v>
      </c>
      <c r="F453">
        <v>218516.55</v>
      </c>
      <c r="G453">
        <v>1142580.27</v>
      </c>
      <c r="H453">
        <v>1.833E-3</v>
      </c>
    </row>
    <row r="454" spans="1:8" x14ac:dyDescent="0.35">
      <c r="A454" s="1">
        <v>45745</v>
      </c>
      <c r="B454" t="s">
        <v>9</v>
      </c>
      <c r="C454">
        <v>1155.82</v>
      </c>
      <c r="D454">
        <v>3</v>
      </c>
      <c r="E454">
        <v>482777.47</v>
      </c>
      <c r="F454">
        <v>137516.32999999999</v>
      </c>
      <c r="G454">
        <v>1319929.6599999999</v>
      </c>
      <c r="H454">
        <v>1.8630000000000001E-3</v>
      </c>
    </row>
    <row r="455" spans="1:8" x14ac:dyDescent="0.35">
      <c r="A455" s="1">
        <v>45746</v>
      </c>
      <c r="B455" t="s">
        <v>9</v>
      </c>
      <c r="C455">
        <v>1158.3699999999999</v>
      </c>
      <c r="D455">
        <v>2</v>
      </c>
      <c r="E455">
        <v>472818</v>
      </c>
      <c r="F455">
        <v>210530.65</v>
      </c>
      <c r="G455">
        <v>1344535.7</v>
      </c>
      <c r="H455">
        <v>1.6949999999999999E-3</v>
      </c>
    </row>
    <row r="456" spans="1:8" x14ac:dyDescent="0.35">
      <c r="A456" s="1">
        <v>45747</v>
      </c>
      <c r="B456" t="s">
        <v>8</v>
      </c>
      <c r="C456">
        <v>1158.6400000000001</v>
      </c>
      <c r="D456">
        <v>2</v>
      </c>
      <c r="E456">
        <v>518201.17</v>
      </c>
      <c r="F456">
        <v>101115.81</v>
      </c>
      <c r="G456">
        <v>1100929.77</v>
      </c>
      <c r="H456">
        <v>1.8710000000000001E-3</v>
      </c>
    </row>
    <row r="457" spans="1:8" x14ac:dyDescent="0.35">
      <c r="A457" s="1">
        <v>45748</v>
      </c>
      <c r="B457" t="s">
        <v>10</v>
      </c>
      <c r="C457">
        <v>1141.0999999999999</v>
      </c>
      <c r="D457">
        <v>4</v>
      </c>
      <c r="E457">
        <v>437062.05</v>
      </c>
      <c r="F457">
        <v>182578.08</v>
      </c>
      <c r="G457">
        <v>1082923.28</v>
      </c>
      <c r="H457">
        <v>1.8420000000000001E-3</v>
      </c>
    </row>
    <row r="458" spans="1:8" x14ac:dyDescent="0.35">
      <c r="A458" s="1">
        <v>45749</v>
      </c>
      <c r="B458" t="s">
        <v>10</v>
      </c>
      <c r="C458">
        <v>971.98</v>
      </c>
      <c r="D458">
        <v>4</v>
      </c>
      <c r="E458">
        <v>371929.87</v>
      </c>
      <c r="F458">
        <v>229252.64</v>
      </c>
      <c r="G458">
        <v>965759.38</v>
      </c>
      <c r="H458">
        <v>1.6169999999999999E-3</v>
      </c>
    </row>
    <row r="459" spans="1:8" x14ac:dyDescent="0.35">
      <c r="A459" s="1">
        <v>45750</v>
      </c>
      <c r="B459" t="s">
        <v>10</v>
      </c>
      <c r="C459">
        <v>907.36</v>
      </c>
      <c r="D459">
        <v>0</v>
      </c>
      <c r="E459">
        <v>427070.29</v>
      </c>
      <c r="F459">
        <v>165921.44</v>
      </c>
      <c r="G459">
        <v>924932.04</v>
      </c>
      <c r="H459">
        <v>1.5299999999999999E-3</v>
      </c>
    </row>
    <row r="460" spans="1:8" x14ac:dyDescent="0.35">
      <c r="A460" s="1">
        <v>45751</v>
      </c>
      <c r="B460" t="s">
        <v>11</v>
      </c>
      <c r="C460">
        <v>1109.49</v>
      </c>
      <c r="D460">
        <v>3</v>
      </c>
      <c r="E460">
        <v>500017.67</v>
      </c>
      <c r="F460">
        <v>203071.07</v>
      </c>
      <c r="G460">
        <v>1217000.48</v>
      </c>
      <c r="H460">
        <v>1.578E-3</v>
      </c>
    </row>
    <row r="461" spans="1:8" x14ac:dyDescent="0.35">
      <c r="A461" s="1">
        <v>45752</v>
      </c>
      <c r="B461" t="s">
        <v>10</v>
      </c>
      <c r="C461">
        <v>1062.2</v>
      </c>
      <c r="D461">
        <v>1</v>
      </c>
      <c r="E461">
        <v>513637.59</v>
      </c>
      <c r="F461">
        <v>182496.67</v>
      </c>
      <c r="G461">
        <v>1235644.8600000001</v>
      </c>
      <c r="H461">
        <v>1.526E-3</v>
      </c>
    </row>
    <row r="462" spans="1:8" x14ac:dyDescent="0.35">
      <c r="A462" s="1">
        <v>45753</v>
      </c>
      <c r="B462" t="s">
        <v>10</v>
      </c>
      <c r="C462">
        <v>1081.21</v>
      </c>
      <c r="D462">
        <v>4</v>
      </c>
      <c r="E462">
        <v>455285.23</v>
      </c>
      <c r="F462">
        <v>237459.57</v>
      </c>
      <c r="G462">
        <v>982147.41</v>
      </c>
      <c r="H462">
        <v>1.5610000000000001E-3</v>
      </c>
    </row>
    <row r="463" spans="1:8" x14ac:dyDescent="0.35">
      <c r="A463" s="1">
        <v>45754</v>
      </c>
      <c r="B463" t="s">
        <v>8</v>
      </c>
      <c r="C463">
        <v>1416.26</v>
      </c>
      <c r="D463">
        <v>1</v>
      </c>
      <c r="E463">
        <v>546994.18999999994</v>
      </c>
      <c r="F463">
        <v>102236.9</v>
      </c>
      <c r="G463">
        <v>1373685.29</v>
      </c>
      <c r="H463">
        <v>2.1810000000000002E-3</v>
      </c>
    </row>
    <row r="464" spans="1:8" x14ac:dyDescent="0.35">
      <c r="A464" s="1">
        <v>45755</v>
      </c>
      <c r="B464" t="s">
        <v>11</v>
      </c>
      <c r="C464">
        <v>902.34</v>
      </c>
      <c r="D464">
        <v>1</v>
      </c>
      <c r="E464">
        <v>410045.68</v>
      </c>
      <c r="F464">
        <v>127419.81</v>
      </c>
      <c r="G464">
        <v>1018503.48</v>
      </c>
      <c r="H464">
        <v>1.6789999999999999E-3</v>
      </c>
    </row>
    <row r="465" spans="1:8" x14ac:dyDescent="0.35">
      <c r="A465" s="1">
        <v>45756</v>
      </c>
      <c r="B465" t="s">
        <v>11</v>
      </c>
      <c r="C465">
        <v>1035.3399999999999</v>
      </c>
      <c r="D465">
        <v>3</v>
      </c>
      <c r="E465">
        <v>403378.7</v>
      </c>
      <c r="F465">
        <v>250860.27</v>
      </c>
      <c r="G465">
        <v>1091819.1599999999</v>
      </c>
      <c r="H465">
        <v>1.583E-3</v>
      </c>
    </row>
    <row r="466" spans="1:8" x14ac:dyDescent="0.35">
      <c r="A466" s="1">
        <v>45757</v>
      </c>
      <c r="B466" t="s">
        <v>9</v>
      </c>
      <c r="C466">
        <v>923.66</v>
      </c>
      <c r="D466">
        <v>1</v>
      </c>
      <c r="E466">
        <v>353584.14</v>
      </c>
      <c r="F466">
        <v>159295.49</v>
      </c>
      <c r="G466">
        <v>836701.85</v>
      </c>
      <c r="H466">
        <v>1.8010000000000001E-3</v>
      </c>
    </row>
    <row r="467" spans="1:8" x14ac:dyDescent="0.35">
      <c r="A467" s="1">
        <v>45758</v>
      </c>
      <c r="B467" t="s">
        <v>11</v>
      </c>
      <c r="C467">
        <v>765.74</v>
      </c>
      <c r="D467">
        <v>4</v>
      </c>
      <c r="E467">
        <v>278160.81</v>
      </c>
      <c r="F467">
        <v>234842.32</v>
      </c>
      <c r="G467">
        <v>725414.83</v>
      </c>
      <c r="H467">
        <v>1.493E-3</v>
      </c>
    </row>
    <row r="468" spans="1:8" x14ac:dyDescent="0.35">
      <c r="A468" s="1">
        <v>45759</v>
      </c>
      <c r="B468" t="s">
        <v>11</v>
      </c>
      <c r="C468">
        <v>830.99</v>
      </c>
      <c r="D468">
        <v>1</v>
      </c>
      <c r="E468">
        <v>400434.99</v>
      </c>
      <c r="F468">
        <v>106509.5</v>
      </c>
      <c r="G468">
        <v>850047.17</v>
      </c>
      <c r="H468">
        <v>1.639E-3</v>
      </c>
    </row>
    <row r="469" spans="1:8" x14ac:dyDescent="0.35">
      <c r="A469" s="1">
        <v>45760</v>
      </c>
      <c r="B469" t="s">
        <v>8</v>
      </c>
      <c r="C469">
        <v>1190.04</v>
      </c>
      <c r="D469">
        <v>0</v>
      </c>
      <c r="E469">
        <v>535551.1</v>
      </c>
      <c r="F469">
        <v>98454.1</v>
      </c>
      <c r="G469">
        <v>1379458.05</v>
      </c>
      <c r="H469">
        <v>1.877E-3</v>
      </c>
    </row>
    <row r="470" spans="1:8" x14ac:dyDescent="0.35">
      <c r="A470" s="1">
        <v>45761</v>
      </c>
      <c r="B470" t="s">
        <v>10</v>
      </c>
      <c r="C470">
        <v>950.58</v>
      </c>
      <c r="D470">
        <v>5</v>
      </c>
      <c r="E470">
        <v>342293.84</v>
      </c>
      <c r="F470">
        <v>164237.69</v>
      </c>
      <c r="G470">
        <v>1140278.33</v>
      </c>
      <c r="H470">
        <v>1.877E-3</v>
      </c>
    </row>
    <row r="471" spans="1:8" x14ac:dyDescent="0.35">
      <c r="A471" s="1">
        <v>45762</v>
      </c>
      <c r="B471" t="s">
        <v>11</v>
      </c>
      <c r="C471">
        <v>1009.78</v>
      </c>
      <c r="D471">
        <v>5</v>
      </c>
      <c r="E471">
        <v>359535.03</v>
      </c>
      <c r="F471">
        <v>211678.73</v>
      </c>
      <c r="G471">
        <v>860365.66</v>
      </c>
      <c r="H471">
        <v>1.768E-3</v>
      </c>
    </row>
    <row r="472" spans="1:8" x14ac:dyDescent="0.35">
      <c r="A472" s="1">
        <v>45763</v>
      </c>
      <c r="B472" t="s">
        <v>11</v>
      </c>
      <c r="C472">
        <v>894.1</v>
      </c>
      <c r="D472">
        <v>3</v>
      </c>
      <c r="E472">
        <v>344053.62</v>
      </c>
      <c r="F472">
        <v>112157.22</v>
      </c>
      <c r="G472">
        <v>988647.67</v>
      </c>
      <c r="H472">
        <v>1.9599999999999999E-3</v>
      </c>
    </row>
    <row r="473" spans="1:8" x14ac:dyDescent="0.35">
      <c r="A473" s="1">
        <v>45764</v>
      </c>
      <c r="B473" t="s">
        <v>8</v>
      </c>
      <c r="C473">
        <v>1179.83</v>
      </c>
      <c r="D473">
        <v>2</v>
      </c>
      <c r="E473">
        <v>561087.18000000005</v>
      </c>
      <c r="F473">
        <v>182928.93</v>
      </c>
      <c r="G473">
        <v>1209743.6599999999</v>
      </c>
      <c r="H473">
        <v>1.586E-3</v>
      </c>
    </row>
    <row r="474" spans="1:8" x14ac:dyDescent="0.35">
      <c r="A474" s="1">
        <v>45765</v>
      </c>
      <c r="B474" t="s">
        <v>11</v>
      </c>
      <c r="C474">
        <v>1045.01</v>
      </c>
      <c r="D474">
        <v>4</v>
      </c>
      <c r="E474">
        <v>476640.9</v>
      </c>
      <c r="F474">
        <v>188384.57</v>
      </c>
      <c r="G474">
        <v>931682.49</v>
      </c>
      <c r="H474">
        <v>1.5709999999999999E-3</v>
      </c>
    </row>
    <row r="475" spans="1:8" x14ac:dyDescent="0.35">
      <c r="A475" s="1">
        <v>45766</v>
      </c>
      <c r="B475" t="s">
        <v>11</v>
      </c>
      <c r="C475">
        <v>949.59</v>
      </c>
      <c r="D475">
        <v>4</v>
      </c>
      <c r="E475">
        <v>362500.08</v>
      </c>
      <c r="F475">
        <v>279344.67</v>
      </c>
      <c r="G475">
        <v>1132331.1399999999</v>
      </c>
      <c r="H475">
        <v>1.4790000000000001E-3</v>
      </c>
    </row>
    <row r="476" spans="1:8" x14ac:dyDescent="0.35">
      <c r="A476" s="1">
        <v>45767</v>
      </c>
      <c r="B476" t="s">
        <v>8</v>
      </c>
      <c r="C476">
        <v>1367.77</v>
      </c>
      <c r="D476">
        <v>2</v>
      </c>
      <c r="E476">
        <v>572020.89</v>
      </c>
      <c r="F476">
        <v>191217.95</v>
      </c>
      <c r="G476">
        <v>1464897.52</v>
      </c>
      <c r="H476">
        <v>1.792E-3</v>
      </c>
    </row>
    <row r="477" spans="1:8" x14ac:dyDescent="0.35">
      <c r="A477" s="1">
        <v>45768</v>
      </c>
      <c r="B477" t="s">
        <v>9</v>
      </c>
      <c r="C477">
        <v>1182.4000000000001</v>
      </c>
      <c r="D477">
        <v>2</v>
      </c>
      <c r="E477">
        <v>502582.62</v>
      </c>
      <c r="F477">
        <v>193632.6</v>
      </c>
      <c r="G477">
        <v>1275634.49</v>
      </c>
      <c r="H477">
        <v>1.6980000000000001E-3</v>
      </c>
    </row>
    <row r="478" spans="1:8" x14ac:dyDescent="0.35">
      <c r="A478" s="1">
        <v>45769</v>
      </c>
      <c r="B478" t="s">
        <v>9</v>
      </c>
      <c r="C478">
        <v>903.25</v>
      </c>
      <c r="D478">
        <v>1</v>
      </c>
      <c r="E478">
        <v>397334.38</v>
      </c>
      <c r="F478">
        <v>96903.4</v>
      </c>
      <c r="G478">
        <v>977364.16</v>
      </c>
      <c r="H478">
        <v>1.828E-3</v>
      </c>
    </row>
    <row r="479" spans="1:8" x14ac:dyDescent="0.35">
      <c r="A479" s="1">
        <v>45770</v>
      </c>
      <c r="B479" t="s">
        <v>11</v>
      </c>
      <c r="C479">
        <v>1030.1400000000001</v>
      </c>
      <c r="D479">
        <v>3</v>
      </c>
      <c r="E479">
        <v>363508.98</v>
      </c>
      <c r="F479">
        <v>226865.39</v>
      </c>
      <c r="G479">
        <v>1075346.51</v>
      </c>
      <c r="H479">
        <v>1.745E-3</v>
      </c>
    </row>
    <row r="480" spans="1:8" x14ac:dyDescent="0.35">
      <c r="A480" s="1">
        <v>45771</v>
      </c>
      <c r="B480" t="s">
        <v>11</v>
      </c>
      <c r="C480">
        <v>1026.98</v>
      </c>
      <c r="D480">
        <v>4</v>
      </c>
      <c r="E480">
        <v>383117.79</v>
      </c>
      <c r="F480">
        <v>215891.08</v>
      </c>
      <c r="G480">
        <v>935376.45</v>
      </c>
      <c r="H480">
        <v>1.714E-3</v>
      </c>
    </row>
    <row r="481" spans="1:8" x14ac:dyDescent="0.35">
      <c r="A481" s="1">
        <v>45772</v>
      </c>
      <c r="B481" t="s">
        <v>10</v>
      </c>
      <c r="C481">
        <v>1074.96</v>
      </c>
      <c r="D481">
        <v>3</v>
      </c>
      <c r="E481">
        <v>384620.75</v>
      </c>
      <c r="F481">
        <v>114761.56</v>
      </c>
      <c r="G481">
        <v>1042000.15</v>
      </c>
      <c r="H481">
        <v>2.153E-3</v>
      </c>
    </row>
    <row r="482" spans="1:8" x14ac:dyDescent="0.35">
      <c r="A482" s="1">
        <v>45773</v>
      </c>
      <c r="B482" t="s">
        <v>11</v>
      </c>
      <c r="C482">
        <v>929.25</v>
      </c>
      <c r="D482">
        <v>3</v>
      </c>
      <c r="E482">
        <v>445530.27</v>
      </c>
      <c r="F482">
        <v>242914.02</v>
      </c>
      <c r="G482">
        <v>816499.43</v>
      </c>
      <c r="H482">
        <v>1.3500000000000001E-3</v>
      </c>
    </row>
    <row r="483" spans="1:8" x14ac:dyDescent="0.35">
      <c r="A483" s="1">
        <v>45774</v>
      </c>
      <c r="B483" t="s">
        <v>10</v>
      </c>
      <c r="C483">
        <v>886.26</v>
      </c>
      <c r="D483">
        <v>4</v>
      </c>
      <c r="E483">
        <v>429484.79999999999</v>
      </c>
      <c r="F483">
        <v>223394.58</v>
      </c>
      <c r="G483">
        <v>1054073.28</v>
      </c>
      <c r="H483">
        <v>1.3569999999999999E-3</v>
      </c>
    </row>
    <row r="484" spans="1:8" x14ac:dyDescent="0.35">
      <c r="A484" s="1">
        <v>45775</v>
      </c>
      <c r="B484" t="s">
        <v>9</v>
      </c>
      <c r="C484">
        <v>1278.8699999999999</v>
      </c>
      <c r="D484">
        <v>0</v>
      </c>
      <c r="E484">
        <v>511923.04</v>
      </c>
      <c r="F484">
        <v>60052.480000000003</v>
      </c>
      <c r="G484">
        <v>1522036.17</v>
      </c>
      <c r="H484">
        <v>2.2360000000000001E-3</v>
      </c>
    </row>
    <row r="485" spans="1:8" x14ac:dyDescent="0.35">
      <c r="A485" s="1">
        <v>45776</v>
      </c>
      <c r="B485" t="s">
        <v>11</v>
      </c>
      <c r="C485">
        <v>881.98</v>
      </c>
      <c r="D485">
        <v>3</v>
      </c>
      <c r="E485">
        <v>359707.61</v>
      </c>
      <c r="F485">
        <v>120655.23</v>
      </c>
      <c r="G485">
        <v>779952.73</v>
      </c>
      <c r="H485">
        <v>1.836E-3</v>
      </c>
    </row>
    <row r="486" spans="1:8" x14ac:dyDescent="0.35">
      <c r="A486" s="1">
        <v>45777</v>
      </c>
      <c r="B486" t="s">
        <v>11</v>
      </c>
      <c r="C486">
        <v>873.48</v>
      </c>
      <c r="D486">
        <v>1</v>
      </c>
      <c r="E486">
        <v>327664.46999999997</v>
      </c>
      <c r="F486">
        <v>92091.33</v>
      </c>
      <c r="G486">
        <v>1038773.86</v>
      </c>
      <c r="H486">
        <v>2.081E-3</v>
      </c>
    </row>
    <row r="487" spans="1:8" x14ac:dyDescent="0.35">
      <c r="A487" s="1">
        <v>45778</v>
      </c>
      <c r="B487" t="s">
        <v>8</v>
      </c>
      <c r="C487">
        <v>967.71</v>
      </c>
      <c r="D487">
        <v>3</v>
      </c>
      <c r="E487">
        <v>454574.66</v>
      </c>
      <c r="F487">
        <v>158938.09</v>
      </c>
      <c r="G487">
        <v>890051.99</v>
      </c>
      <c r="H487">
        <v>1.5770000000000001E-3</v>
      </c>
    </row>
    <row r="488" spans="1:8" x14ac:dyDescent="0.35">
      <c r="A488" s="1">
        <v>45779</v>
      </c>
      <c r="B488" t="s">
        <v>11</v>
      </c>
      <c r="C488">
        <v>826.92</v>
      </c>
      <c r="D488">
        <v>1</v>
      </c>
      <c r="E488">
        <v>373022.7</v>
      </c>
      <c r="F488">
        <v>79384.73</v>
      </c>
      <c r="G488">
        <v>731164.57</v>
      </c>
      <c r="H488">
        <v>1.828E-3</v>
      </c>
    </row>
    <row r="489" spans="1:8" x14ac:dyDescent="0.35">
      <c r="A489" s="1">
        <v>45780</v>
      </c>
      <c r="B489" t="s">
        <v>9</v>
      </c>
      <c r="C489">
        <v>1047.21</v>
      </c>
      <c r="D489">
        <v>1</v>
      </c>
      <c r="E489">
        <v>420347.44</v>
      </c>
      <c r="F489">
        <v>199698.84</v>
      </c>
      <c r="G489">
        <v>902665.29</v>
      </c>
      <c r="H489">
        <v>1.689E-3</v>
      </c>
    </row>
    <row r="490" spans="1:8" x14ac:dyDescent="0.35">
      <c r="A490" s="1">
        <v>45781</v>
      </c>
      <c r="B490" t="s">
        <v>11</v>
      </c>
      <c r="C490">
        <v>895.28</v>
      </c>
      <c r="D490">
        <v>3</v>
      </c>
      <c r="E490">
        <v>391333.04</v>
      </c>
      <c r="F490">
        <v>185826.31</v>
      </c>
      <c r="G490">
        <v>767823.88</v>
      </c>
      <c r="H490">
        <v>1.5510000000000001E-3</v>
      </c>
    </row>
    <row r="491" spans="1:8" x14ac:dyDescent="0.35">
      <c r="A491" s="1">
        <v>45782</v>
      </c>
      <c r="B491" t="s">
        <v>10</v>
      </c>
      <c r="C491">
        <v>872.74</v>
      </c>
      <c r="D491">
        <v>2</v>
      </c>
      <c r="E491">
        <v>316227.8</v>
      </c>
      <c r="F491">
        <v>158937.60999999999</v>
      </c>
      <c r="G491">
        <v>805173.21</v>
      </c>
      <c r="H491">
        <v>1.8370000000000001E-3</v>
      </c>
    </row>
    <row r="492" spans="1:8" x14ac:dyDescent="0.35">
      <c r="A492" s="1">
        <v>45783</v>
      </c>
      <c r="B492" t="s">
        <v>11</v>
      </c>
      <c r="C492">
        <v>722.12</v>
      </c>
      <c r="D492">
        <v>5</v>
      </c>
      <c r="E492">
        <v>311019.94</v>
      </c>
      <c r="F492">
        <v>276016.21000000002</v>
      </c>
      <c r="G492">
        <v>863498.08</v>
      </c>
      <c r="H492">
        <v>1.23E-3</v>
      </c>
    </row>
    <row r="493" spans="1:8" x14ac:dyDescent="0.35">
      <c r="A493" s="1">
        <v>45784</v>
      </c>
      <c r="B493" t="s">
        <v>10</v>
      </c>
      <c r="C493">
        <v>651.71</v>
      </c>
      <c r="D493">
        <v>2</v>
      </c>
      <c r="E493">
        <v>275938.34000000003</v>
      </c>
      <c r="F493">
        <v>201246.22</v>
      </c>
      <c r="G493">
        <v>649769.42000000004</v>
      </c>
      <c r="H493">
        <v>1.366E-3</v>
      </c>
    </row>
    <row r="494" spans="1:8" x14ac:dyDescent="0.35">
      <c r="A494" s="1">
        <v>45785</v>
      </c>
      <c r="B494" t="s">
        <v>8</v>
      </c>
      <c r="C494">
        <v>1387.03</v>
      </c>
      <c r="D494">
        <v>2</v>
      </c>
      <c r="E494">
        <v>553752.37</v>
      </c>
      <c r="F494">
        <v>158098.49</v>
      </c>
      <c r="G494">
        <v>1532642.87</v>
      </c>
      <c r="H494">
        <v>1.9480000000000001E-3</v>
      </c>
    </row>
    <row r="495" spans="1:8" x14ac:dyDescent="0.35">
      <c r="A495" s="1">
        <v>45786</v>
      </c>
      <c r="B495" t="s">
        <v>11</v>
      </c>
      <c r="C495">
        <v>890.7</v>
      </c>
      <c r="D495">
        <v>0</v>
      </c>
      <c r="E495">
        <v>337987.36</v>
      </c>
      <c r="F495">
        <v>192716.72</v>
      </c>
      <c r="G495">
        <v>775083.63</v>
      </c>
      <c r="H495">
        <v>1.678E-3</v>
      </c>
    </row>
    <row r="496" spans="1:8" x14ac:dyDescent="0.35">
      <c r="A496" s="1">
        <v>45787</v>
      </c>
      <c r="B496" t="s">
        <v>8</v>
      </c>
      <c r="C496">
        <v>1485.62</v>
      </c>
      <c r="D496">
        <v>2</v>
      </c>
      <c r="E496">
        <v>643124.13</v>
      </c>
      <c r="F496">
        <v>145825.99</v>
      </c>
      <c r="G496">
        <v>1581690.97</v>
      </c>
      <c r="H496">
        <v>1.8829999999999999E-3</v>
      </c>
    </row>
    <row r="497" spans="1:8" x14ac:dyDescent="0.35">
      <c r="A497" s="1">
        <v>45788</v>
      </c>
      <c r="B497" t="s">
        <v>8</v>
      </c>
      <c r="C497">
        <v>1443.89</v>
      </c>
      <c r="D497">
        <v>1</v>
      </c>
      <c r="E497">
        <v>545489.44999999995</v>
      </c>
      <c r="F497">
        <v>111796.46</v>
      </c>
      <c r="G497">
        <v>1281432.56</v>
      </c>
      <c r="H497">
        <v>2.1970000000000002E-3</v>
      </c>
    </row>
    <row r="498" spans="1:8" x14ac:dyDescent="0.35">
      <c r="A498" s="1">
        <v>45789</v>
      </c>
      <c r="B498" t="s">
        <v>11</v>
      </c>
      <c r="C498">
        <v>966.3</v>
      </c>
      <c r="D498">
        <v>4</v>
      </c>
      <c r="E498">
        <v>392493.04</v>
      </c>
      <c r="F498">
        <v>249659.84</v>
      </c>
      <c r="G498">
        <v>915041.88</v>
      </c>
      <c r="H498">
        <v>1.505E-3</v>
      </c>
    </row>
    <row r="499" spans="1:8" x14ac:dyDescent="0.35">
      <c r="A499" s="1">
        <v>45790</v>
      </c>
      <c r="B499" t="s">
        <v>10</v>
      </c>
      <c r="C499">
        <v>935.44</v>
      </c>
      <c r="D499">
        <v>0</v>
      </c>
      <c r="E499">
        <v>405530.78</v>
      </c>
      <c r="F499">
        <v>176768.13</v>
      </c>
      <c r="G499">
        <v>1046170.99</v>
      </c>
      <c r="H499">
        <v>1.606E-3</v>
      </c>
    </row>
    <row r="500" spans="1:8" x14ac:dyDescent="0.35">
      <c r="A500" s="1">
        <v>45791</v>
      </c>
      <c r="B500" t="s">
        <v>11</v>
      </c>
      <c r="C500">
        <v>978</v>
      </c>
      <c r="D500">
        <v>1</v>
      </c>
      <c r="E500">
        <v>470526.26</v>
      </c>
      <c r="F500">
        <v>107450.34</v>
      </c>
      <c r="G500">
        <v>885382.24</v>
      </c>
      <c r="H500">
        <v>1.6919999999999999E-3</v>
      </c>
    </row>
    <row r="501" spans="1:8" x14ac:dyDescent="0.35">
      <c r="A501" s="1">
        <v>45792</v>
      </c>
      <c r="B501" t="s">
        <v>10</v>
      </c>
      <c r="C501">
        <v>853.32</v>
      </c>
      <c r="D501">
        <v>0</v>
      </c>
      <c r="E501">
        <v>410108.02</v>
      </c>
      <c r="F501">
        <v>168889.22</v>
      </c>
      <c r="G501">
        <v>896785.58</v>
      </c>
      <c r="H501">
        <v>1.474E-3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152F-5553-4E8E-8103-E3731098AAD4}">
  <sheetPr codeName="Sheet4"/>
  <dimension ref="A1:P30"/>
  <sheetViews>
    <sheetView topLeftCell="A9" zoomScale="57" workbookViewId="0">
      <selection activeCell="B10" sqref="B10"/>
    </sheetView>
  </sheetViews>
  <sheetFormatPr defaultRowHeight="14.5" x14ac:dyDescent="0.35"/>
  <cols>
    <col min="1" max="1" width="17.6328125" customWidth="1"/>
    <col min="2" max="2" width="21.453125" customWidth="1"/>
    <col min="3" max="3" width="10.90625" bestFit="1" customWidth="1"/>
    <col min="4" max="4" width="9.1796875" bestFit="1" customWidth="1"/>
    <col min="5" max="5" width="9.36328125" bestFit="1" customWidth="1"/>
    <col min="6" max="7" width="15.08984375" bestFit="1" customWidth="1"/>
    <col min="8" max="8" width="13" bestFit="1" customWidth="1"/>
    <col min="9" max="9" width="13" customWidth="1"/>
    <col min="10" max="10" width="18.90625" customWidth="1"/>
    <col min="11" max="11" width="15.08984375" bestFit="1" customWidth="1"/>
    <col min="12" max="12" width="9.81640625" bestFit="1" customWidth="1"/>
    <col min="13" max="13" width="8.54296875" bestFit="1" customWidth="1"/>
    <col min="15" max="15" width="20" customWidth="1"/>
    <col min="16" max="16" width="46.7265625" customWidth="1"/>
  </cols>
  <sheetData>
    <row r="1" spans="1:16" ht="43.5" x14ac:dyDescent="0.35">
      <c r="A1" s="26" t="s">
        <v>19</v>
      </c>
      <c r="B1" s="26" t="s">
        <v>20</v>
      </c>
      <c r="C1" s="28"/>
      <c r="D1" s="5"/>
      <c r="E1" s="5"/>
      <c r="F1" s="5"/>
      <c r="G1" s="5"/>
      <c r="H1" s="5"/>
      <c r="I1" s="5"/>
      <c r="J1" s="27" t="s">
        <v>30</v>
      </c>
      <c r="K1" s="27" t="s">
        <v>31</v>
      </c>
      <c r="L1" s="27" t="s">
        <v>32</v>
      </c>
      <c r="M1" s="27" t="s">
        <v>33</v>
      </c>
      <c r="N1" s="5"/>
      <c r="O1" s="29" t="s">
        <v>49</v>
      </c>
      <c r="P1" s="29" t="s">
        <v>50</v>
      </c>
    </row>
    <row r="2" spans="1:16" ht="75" customHeight="1" x14ac:dyDescent="0.35">
      <c r="A2" s="7" t="s">
        <v>21</v>
      </c>
      <c r="B2" s="8">
        <v>521560.96000000031</v>
      </c>
      <c r="C2" s="6"/>
      <c r="D2" s="6"/>
      <c r="E2" s="6"/>
      <c r="F2" s="6"/>
      <c r="G2" s="6"/>
      <c r="H2" s="6"/>
      <c r="I2" s="6"/>
      <c r="J2" s="19" t="s">
        <v>34</v>
      </c>
      <c r="K2" s="20">
        <v>62086152.669999987</v>
      </c>
      <c r="L2" s="21">
        <v>63780.309999999983</v>
      </c>
      <c r="M2" s="22">
        <v>117</v>
      </c>
      <c r="N2" s="6"/>
      <c r="O2" s="23" t="s">
        <v>51</v>
      </c>
      <c r="P2" s="23" t="s">
        <v>52</v>
      </c>
    </row>
    <row r="3" spans="1:16" ht="56" customHeight="1" x14ac:dyDescent="0.35">
      <c r="A3" s="7" t="s">
        <v>22</v>
      </c>
      <c r="B3" s="9">
        <v>517783552.44000041</v>
      </c>
      <c r="C3" s="6"/>
      <c r="D3" s="6"/>
      <c r="E3" s="6"/>
      <c r="F3" s="6"/>
      <c r="G3" s="6"/>
      <c r="H3" s="6"/>
      <c r="I3" s="6"/>
      <c r="J3" s="19" t="s">
        <v>35</v>
      </c>
      <c r="K3" s="20">
        <v>58841399.739999995</v>
      </c>
      <c r="L3" s="21">
        <v>59113.78</v>
      </c>
      <c r="M3" s="22">
        <v>126</v>
      </c>
      <c r="N3" s="6"/>
      <c r="O3" s="23" t="s">
        <v>53</v>
      </c>
      <c r="P3" s="23" t="s">
        <v>54</v>
      </c>
    </row>
    <row r="4" spans="1:16" ht="49.5" customHeight="1" x14ac:dyDescent="0.35">
      <c r="A4" s="7" t="s">
        <v>23</v>
      </c>
      <c r="B4" s="9">
        <v>221808900.68000007</v>
      </c>
      <c r="C4" s="6"/>
      <c r="D4" s="6"/>
      <c r="E4" s="6"/>
      <c r="F4" s="6"/>
      <c r="G4" s="6"/>
      <c r="H4" s="6"/>
      <c r="I4" s="6"/>
      <c r="J4" s="19" t="s">
        <v>36</v>
      </c>
      <c r="K4" s="20">
        <v>65378724.979999989</v>
      </c>
      <c r="L4" s="21">
        <v>64914.060000000012</v>
      </c>
      <c r="M4" s="22">
        <v>122</v>
      </c>
      <c r="N4" s="6"/>
      <c r="O4" s="23" t="s">
        <v>55</v>
      </c>
      <c r="P4" s="23" t="s">
        <v>56</v>
      </c>
    </row>
    <row r="5" spans="1:16" ht="56.5" customHeight="1" x14ac:dyDescent="0.35">
      <c r="A5" s="7" t="s">
        <v>24</v>
      </c>
      <c r="B5" s="9">
        <v>83647333.760000035</v>
      </c>
      <c r="C5" s="6"/>
      <c r="D5" s="6"/>
      <c r="E5" s="6"/>
      <c r="F5" s="6"/>
      <c r="G5" s="6"/>
      <c r="H5" s="6"/>
      <c r="I5" s="6"/>
      <c r="J5" s="19" t="s">
        <v>37</v>
      </c>
      <c r="K5" s="20">
        <v>61940297.039999984</v>
      </c>
      <c r="L5" s="21">
        <v>61824.15</v>
      </c>
      <c r="M5" s="22">
        <v>130</v>
      </c>
      <c r="N5" s="6"/>
      <c r="O5" s="23" t="s">
        <v>57</v>
      </c>
      <c r="P5" s="23" t="s">
        <v>58</v>
      </c>
    </row>
    <row r="6" spans="1:16" ht="57" customHeight="1" x14ac:dyDescent="0.35">
      <c r="A6" s="7" t="s">
        <v>25</v>
      </c>
      <c r="B6" s="10">
        <v>1014</v>
      </c>
      <c r="C6" s="6"/>
      <c r="D6" s="6"/>
      <c r="E6" s="6"/>
      <c r="F6" s="6"/>
      <c r="G6" s="6"/>
      <c r="H6" s="6"/>
      <c r="I6" s="6"/>
      <c r="J6" s="19" t="s">
        <v>38</v>
      </c>
      <c r="K6" s="20">
        <v>45724037.280000001</v>
      </c>
      <c r="L6" s="21">
        <v>47211.700000000004</v>
      </c>
      <c r="M6" s="22">
        <v>82</v>
      </c>
      <c r="N6" s="6"/>
      <c r="O6" s="23" t="s">
        <v>59</v>
      </c>
      <c r="P6" s="23" t="s">
        <v>60</v>
      </c>
    </row>
    <row r="7" spans="1:16" ht="52" customHeight="1" x14ac:dyDescent="0.35">
      <c r="A7" s="7" t="s">
        <v>26</v>
      </c>
      <c r="B7" s="11">
        <v>1.7200139999999995E-3</v>
      </c>
      <c r="C7" s="6"/>
      <c r="D7" s="6"/>
      <c r="E7" s="6"/>
      <c r="F7" s="6"/>
      <c r="G7" s="6"/>
      <c r="H7" s="6"/>
      <c r="I7" s="6"/>
      <c r="J7" s="19" t="s">
        <v>39</v>
      </c>
      <c r="K7" s="20">
        <v>31590410.82</v>
      </c>
      <c r="L7" s="21">
        <v>31560.650000000005</v>
      </c>
      <c r="M7" s="22">
        <v>66</v>
      </c>
      <c r="N7" s="6"/>
      <c r="O7" s="23" t="s">
        <v>61</v>
      </c>
      <c r="P7" s="23" t="s">
        <v>62</v>
      </c>
    </row>
    <row r="8" spans="1:16" ht="81" customHeight="1" x14ac:dyDescent="0.35">
      <c r="A8" s="7" t="s">
        <v>27</v>
      </c>
      <c r="B8" s="9">
        <v>212327318.0000003</v>
      </c>
      <c r="C8" s="6"/>
      <c r="D8" s="6"/>
      <c r="E8" s="6"/>
      <c r="F8" s="6"/>
      <c r="G8" s="6"/>
      <c r="H8" s="6"/>
      <c r="I8" s="6"/>
      <c r="J8" s="19" t="s">
        <v>40</v>
      </c>
      <c r="K8" s="20">
        <v>29950149.389999997</v>
      </c>
      <c r="L8" s="21">
        <v>31590.5</v>
      </c>
      <c r="M8" s="22">
        <v>69</v>
      </c>
      <c r="N8" s="6"/>
      <c r="O8" s="23" t="s">
        <v>63</v>
      </c>
      <c r="P8" s="23" t="s">
        <v>64</v>
      </c>
    </row>
    <row r="9" spans="1:16" ht="70.5" customHeight="1" x14ac:dyDescent="0.35">
      <c r="A9" s="7" t="s">
        <v>28</v>
      </c>
      <c r="B9" s="12">
        <v>0.41</v>
      </c>
      <c r="C9" s="6"/>
      <c r="D9" s="6"/>
      <c r="E9" s="6"/>
      <c r="F9" s="6"/>
      <c r="G9" s="6"/>
      <c r="H9" s="6"/>
      <c r="I9" s="6"/>
      <c r="J9" s="19" t="s">
        <v>41</v>
      </c>
      <c r="K9" s="20">
        <v>32514134.069999997</v>
      </c>
      <c r="L9" s="21">
        <v>32511.74</v>
      </c>
      <c r="M9" s="22">
        <v>62</v>
      </c>
      <c r="N9" s="6"/>
      <c r="O9" s="23" t="s">
        <v>65</v>
      </c>
      <c r="P9" s="23" t="s">
        <v>66</v>
      </c>
    </row>
    <row r="10" spans="1:16" ht="60.5" customHeight="1" x14ac:dyDescent="0.35">
      <c r="A10" s="7" t="s">
        <v>29</v>
      </c>
      <c r="B10" s="9">
        <v>1035567.1048800008</v>
      </c>
      <c r="C10" s="6"/>
      <c r="D10" s="6"/>
      <c r="E10" s="6"/>
      <c r="F10" s="6"/>
      <c r="G10" s="6"/>
      <c r="H10" s="6"/>
      <c r="I10" s="6"/>
      <c r="J10" s="19" t="s">
        <v>42</v>
      </c>
      <c r="K10" s="20">
        <v>32396399.25</v>
      </c>
      <c r="L10" s="21">
        <v>32579.190000000006</v>
      </c>
      <c r="M10" s="22">
        <v>65</v>
      </c>
      <c r="N10" s="6"/>
      <c r="O10" s="23" t="s">
        <v>67</v>
      </c>
      <c r="P10" s="23" t="s">
        <v>68</v>
      </c>
    </row>
    <row r="11" spans="1:16" ht="29" x14ac:dyDescent="0.35">
      <c r="A11" s="6"/>
      <c r="B11" s="6"/>
      <c r="C11" s="6"/>
      <c r="D11" s="6"/>
      <c r="E11" s="6"/>
      <c r="F11" s="6"/>
      <c r="G11" s="6"/>
      <c r="H11" s="6"/>
      <c r="I11" s="6"/>
      <c r="J11" s="19" t="s">
        <v>43</v>
      </c>
      <c r="K11" s="20">
        <v>33448509.630000003</v>
      </c>
      <c r="L11" s="21">
        <v>33662.779999999992</v>
      </c>
      <c r="M11" s="22">
        <v>56</v>
      </c>
      <c r="N11" s="6"/>
      <c r="O11" s="6"/>
      <c r="P11" s="6"/>
    </row>
    <row r="12" spans="1:16" ht="29" x14ac:dyDescent="0.35">
      <c r="A12" s="13" t="s">
        <v>1</v>
      </c>
      <c r="B12" s="34" t="s">
        <v>31</v>
      </c>
      <c r="C12" s="34" t="s">
        <v>32</v>
      </c>
      <c r="D12" s="34" t="s">
        <v>33</v>
      </c>
      <c r="E12" s="34" t="s">
        <v>46</v>
      </c>
      <c r="F12" s="34" t="s">
        <v>47</v>
      </c>
      <c r="G12" s="34" t="s">
        <v>48</v>
      </c>
      <c r="H12" s="4" t="s">
        <v>1</v>
      </c>
      <c r="I12" s="4" t="s">
        <v>33</v>
      </c>
      <c r="J12" s="19" t="s">
        <v>44</v>
      </c>
      <c r="K12" s="20">
        <v>29712288.810000002</v>
      </c>
      <c r="L12" s="21">
        <v>29776.019999999993</v>
      </c>
      <c r="M12" s="22">
        <v>56</v>
      </c>
      <c r="N12" s="6"/>
      <c r="O12" s="6"/>
      <c r="P12" s="6"/>
    </row>
    <row r="13" spans="1:16" ht="29" x14ac:dyDescent="0.35">
      <c r="A13" s="14" t="s">
        <v>8</v>
      </c>
      <c r="B13" s="15">
        <v>150636399.40000007</v>
      </c>
      <c r="C13" s="16">
        <v>150979.24999999994</v>
      </c>
      <c r="D13" s="17">
        <v>255</v>
      </c>
      <c r="E13" s="18">
        <v>1.7689603174603171E-3</v>
      </c>
      <c r="F13" s="15">
        <v>86087639.060000002</v>
      </c>
      <c r="G13" s="15">
        <v>64548760.340000063</v>
      </c>
      <c r="H13" s="24" t="s">
        <v>8</v>
      </c>
      <c r="I13" s="25">
        <v>255</v>
      </c>
      <c r="J13" s="19" t="s">
        <v>45</v>
      </c>
      <c r="K13" s="20">
        <v>34201048.759999998</v>
      </c>
      <c r="L13" s="21">
        <v>33036.080000000002</v>
      </c>
      <c r="M13" s="22">
        <v>63</v>
      </c>
      <c r="N13" s="6"/>
      <c r="O13" s="6"/>
      <c r="P13" s="6"/>
    </row>
    <row r="14" spans="1:16" x14ac:dyDescent="0.35">
      <c r="A14" s="14" t="s">
        <v>10</v>
      </c>
      <c r="B14" s="15">
        <v>132513324.18999995</v>
      </c>
      <c r="C14" s="16">
        <v>134918.91999999995</v>
      </c>
      <c r="D14" s="17">
        <v>263</v>
      </c>
      <c r="E14" s="18">
        <v>1.7239925925925923E-3</v>
      </c>
      <c r="F14" s="15">
        <v>78908777.309999958</v>
      </c>
      <c r="G14" s="15">
        <v>53604546.879999995</v>
      </c>
      <c r="H14" s="24" t="s">
        <v>10</v>
      </c>
      <c r="I14" s="25">
        <v>263</v>
      </c>
      <c r="J14" s="6"/>
      <c r="K14" s="6"/>
      <c r="L14" s="6"/>
      <c r="M14" s="6"/>
      <c r="N14" s="6"/>
      <c r="O14" s="6"/>
      <c r="P14" s="6"/>
    </row>
    <row r="15" spans="1:16" ht="29" x14ac:dyDescent="0.35">
      <c r="A15" s="14" t="s">
        <v>9</v>
      </c>
      <c r="B15" s="15">
        <v>123871497.97999997</v>
      </c>
      <c r="C15" s="16">
        <v>124304.11000000002</v>
      </c>
      <c r="D15" s="17">
        <v>221</v>
      </c>
      <c r="E15" s="18">
        <v>1.7402719298245618E-3</v>
      </c>
      <c r="F15" s="15">
        <v>72196467.730000004</v>
      </c>
      <c r="G15" s="15">
        <v>51675030.24999997</v>
      </c>
      <c r="H15" s="24" t="s">
        <v>9</v>
      </c>
      <c r="I15" s="25">
        <v>221</v>
      </c>
      <c r="J15" s="6"/>
      <c r="K15" s="6"/>
      <c r="L15" s="6"/>
      <c r="M15" s="6"/>
      <c r="N15" s="6"/>
      <c r="O15" s="6"/>
      <c r="P15" s="6"/>
    </row>
    <row r="16" spans="1:16" x14ac:dyDescent="0.35">
      <c r="A16" s="14" t="s">
        <v>11</v>
      </c>
      <c r="B16" s="15">
        <v>110762330.86999995</v>
      </c>
      <c r="C16" s="16">
        <v>111358.68000000001</v>
      </c>
      <c r="D16" s="17">
        <v>275</v>
      </c>
      <c r="E16" s="18">
        <v>1.6479039999999999E-3</v>
      </c>
      <c r="F16" s="15">
        <v>68263350.339999989</v>
      </c>
      <c r="G16" s="15">
        <v>42498980.529999956</v>
      </c>
      <c r="H16" s="24" t="s">
        <v>11</v>
      </c>
      <c r="I16" s="25">
        <v>275</v>
      </c>
      <c r="J16" s="6"/>
      <c r="K16" s="6"/>
      <c r="L16" s="6"/>
      <c r="M16" s="6"/>
      <c r="N16" s="6"/>
      <c r="O16" s="6"/>
      <c r="P16" s="6"/>
    </row>
    <row r="17" spans="1:16" x14ac:dyDescent="0.35">
      <c r="A17" s="6"/>
      <c r="B17" s="6"/>
      <c r="C17" s="6"/>
      <c r="D17" s="6"/>
      <c r="E17" s="6"/>
      <c r="F17" s="6"/>
      <c r="G17" s="6"/>
      <c r="H17" s="6"/>
      <c r="I17" s="6"/>
      <c r="J17" s="6"/>
      <c r="K17" s="6"/>
      <c r="L17" s="6"/>
      <c r="M17" s="6"/>
      <c r="N17" s="6"/>
      <c r="O17" s="6"/>
      <c r="P17" s="6"/>
    </row>
    <row r="18" spans="1:16" x14ac:dyDescent="0.35">
      <c r="A18" s="6"/>
      <c r="B18" s="6"/>
      <c r="C18" s="6"/>
      <c r="D18" s="6"/>
      <c r="E18" s="6"/>
      <c r="F18" s="6"/>
      <c r="G18" s="6"/>
      <c r="H18" s="6"/>
      <c r="I18" s="6"/>
      <c r="J18" s="6"/>
      <c r="K18" s="6"/>
      <c r="L18" s="6"/>
      <c r="M18" s="6"/>
      <c r="N18" s="6"/>
      <c r="O18" s="6"/>
      <c r="P18" s="6"/>
    </row>
    <row r="19" spans="1:16" x14ac:dyDescent="0.35">
      <c r="A19" s="6"/>
      <c r="B19" s="6"/>
      <c r="C19" s="6"/>
      <c r="D19" s="6"/>
      <c r="E19" s="6"/>
      <c r="F19" s="6"/>
      <c r="G19" s="6"/>
      <c r="H19" s="6"/>
      <c r="I19" s="6"/>
      <c r="J19" s="6"/>
      <c r="K19" s="6"/>
      <c r="L19" s="6"/>
      <c r="M19" s="6"/>
      <c r="N19" s="6"/>
      <c r="O19" s="6"/>
      <c r="P19" s="6"/>
    </row>
    <row r="20" spans="1:16" x14ac:dyDescent="0.35">
      <c r="A20" s="6"/>
      <c r="B20" s="6"/>
      <c r="C20" s="6"/>
      <c r="D20" s="6"/>
      <c r="E20" s="6"/>
      <c r="F20" s="6"/>
      <c r="G20" s="6"/>
      <c r="H20" s="6"/>
      <c r="I20" s="6"/>
      <c r="J20" s="6"/>
      <c r="K20" s="6"/>
      <c r="L20" s="6"/>
      <c r="M20" s="6"/>
      <c r="N20" s="6"/>
      <c r="O20" s="6"/>
      <c r="P20" s="6"/>
    </row>
    <row r="21" spans="1:16" x14ac:dyDescent="0.35">
      <c r="A21" s="6"/>
      <c r="B21" s="6"/>
      <c r="C21" s="6"/>
      <c r="D21" s="6"/>
      <c r="E21" s="6"/>
      <c r="F21" s="6"/>
      <c r="G21" s="6"/>
      <c r="H21" s="6"/>
      <c r="I21" s="6"/>
      <c r="J21" s="6"/>
      <c r="K21" s="6"/>
      <c r="L21" s="6"/>
      <c r="M21" s="6"/>
      <c r="N21" s="6"/>
      <c r="O21" s="6"/>
      <c r="P21" s="6"/>
    </row>
    <row r="22" spans="1:16" x14ac:dyDescent="0.35">
      <c r="A22" s="6"/>
      <c r="B22" s="6"/>
      <c r="C22" s="6"/>
      <c r="D22" s="6"/>
      <c r="E22" s="6"/>
      <c r="F22" s="6"/>
      <c r="G22" s="6"/>
      <c r="H22" s="6"/>
      <c r="I22" s="6"/>
      <c r="J22" s="6"/>
      <c r="K22" s="6"/>
      <c r="L22" s="6"/>
      <c r="M22" s="6"/>
      <c r="N22" s="6"/>
      <c r="O22" s="6"/>
      <c r="P22" s="6"/>
    </row>
    <row r="23" spans="1:16" x14ac:dyDescent="0.35">
      <c r="A23" s="6"/>
      <c r="B23" s="6"/>
      <c r="C23" s="6"/>
      <c r="D23" s="6"/>
      <c r="E23" s="6"/>
      <c r="F23" s="6"/>
      <c r="G23" s="6"/>
      <c r="H23" s="6"/>
      <c r="I23" s="6"/>
      <c r="J23" s="6"/>
      <c r="K23" s="6"/>
      <c r="L23" s="6"/>
      <c r="M23" s="6"/>
      <c r="N23" s="6"/>
      <c r="O23" s="6"/>
      <c r="P23" s="6"/>
    </row>
    <row r="24" spans="1:16" x14ac:dyDescent="0.35">
      <c r="A24" s="6"/>
      <c r="B24" s="6"/>
      <c r="C24" s="6"/>
      <c r="D24" s="6"/>
      <c r="E24" s="6"/>
      <c r="F24" s="6"/>
      <c r="G24" s="6"/>
      <c r="H24" s="6"/>
      <c r="I24" s="6"/>
      <c r="J24" s="6"/>
      <c r="K24" s="6"/>
      <c r="L24" s="6"/>
      <c r="M24" s="6"/>
      <c r="N24" s="6"/>
      <c r="O24" s="6"/>
      <c r="P24" s="6"/>
    </row>
    <row r="25" spans="1:16" x14ac:dyDescent="0.35">
      <c r="A25" s="6"/>
      <c r="B25" s="6"/>
      <c r="C25" s="6"/>
      <c r="D25" s="6"/>
      <c r="E25" s="6"/>
      <c r="F25" s="6"/>
      <c r="G25" s="6"/>
      <c r="H25" s="6"/>
      <c r="I25" s="6"/>
      <c r="J25" s="6"/>
      <c r="K25" s="6"/>
      <c r="L25" s="6"/>
      <c r="M25" s="6"/>
      <c r="N25" s="6"/>
      <c r="O25" s="6"/>
      <c r="P25" s="6"/>
    </row>
    <row r="26" spans="1:16" x14ac:dyDescent="0.35">
      <c r="A26" s="6"/>
      <c r="B26" s="6"/>
      <c r="C26" s="6"/>
      <c r="D26" s="6"/>
      <c r="E26" s="6"/>
      <c r="F26" s="6"/>
      <c r="G26" s="6"/>
      <c r="H26" s="6"/>
      <c r="I26" s="6"/>
      <c r="J26" s="6"/>
      <c r="K26" s="6"/>
      <c r="L26" s="6"/>
      <c r="M26" s="6"/>
      <c r="N26" s="6"/>
      <c r="O26" s="6"/>
      <c r="P26" s="6"/>
    </row>
    <row r="27" spans="1:16" x14ac:dyDescent="0.35">
      <c r="A27" s="6"/>
      <c r="B27" s="6"/>
      <c r="C27" s="6"/>
      <c r="D27" s="6"/>
      <c r="E27" s="6"/>
      <c r="F27" s="6"/>
      <c r="G27" s="6"/>
      <c r="H27" s="6"/>
      <c r="I27" s="6"/>
      <c r="J27" s="6"/>
      <c r="K27" s="6"/>
      <c r="L27" s="6"/>
      <c r="M27" s="6"/>
      <c r="N27" s="6"/>
      <c r="O27" s="6"/>
      <c r="P27" s="6"/>
    </row>
    <row r="28" spans="1:16" x14ac:dyDescent="0.35">
      <c r="A28" s="6"/>
      <c r="B28" s="6"/>
      <c r="C28" s="6"/>
      <c r="D28" s="6"/>
      <c r="E28" s="6"/>
      <c r="F28" s="6"/>
      <c r="G28" s="6"/>
      <c r="H28" s="6"/>
      <c r="I28" s="6"/>
      <c r="J28" s="6"/>
      <c r="K28" s="6"/>
      <c r="L28" s="6"/>
      <c r="M28" s="6"/>
      <c r="N28" s="6"/>
      <c r="O28" s="6"/>
      <c r="P28" s="6"/>
    </row>
    <row r="29" spans="1:16" x14ac:dyDescent="0.35">
      <c r="A29" s="6"/>
      <c r="B29" s="6"/>
      <c r="C29" s="6"/>
      <c r="D29" s="6"/>
      <c r="E29" s="6"/>
      <c r="F29" s="6"/>
      <c r="G29" s="6"/>
      <c r="H29" s="6"/>
      <c r="I29" s="6"/>
      <c r="J29" s="6"/>
      <c r="K29" s="6"/>
      <c r="L29" s="6"/>
      <c r="M29" s="6"/>
      <c r="N29" s="6"/>
      <c r="O29" s="6"/>
      <c r="P29" s="6"/>
    </row>
    <row r="30" spans="1:16" x14ac:dyDescent="0.35">
      <c r="A30" s="6"/>
      <c r="B30" s="6"/>
      <c r="C30" s="6"/>
      <c r="D30" s="6"/>
      <c r="E30" s="6"/>
      <c r="F30" s="6"/>
      <c r="G30" s="6"/>
      <c r="H30" s="6"/>
      <c r="I30" s="6"/>
      <c r="J30" s="6"/>
      <c r="K30" s="6"/>
      <c r="L30" s="6"/>
      <c r="M30" s="6"/>
      <c r="N30" s="6"/>
      <c r="O30" s="6"/>
      <c r="P30"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paras_energy_dataset</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Grace olufore</cp:lastModifiedBy>
  <dcterms:created xsi:type="dcterms:W3CDTF">2026-06-15T13:35:43Z</dcterms:created>
  <dcterms:modified xsi:type="dcterms:W3CDTF">2026-07-01T14:41:34Z</dcterms:modified>
</cp:coreProperties>
</file>